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ighwaybaas-my.sharepoint.com/personal/arthur_hakobyan_highwaybaas_com/Documents/Products/Shared/"/>
    </mc:Choice>
  </mc:AlternateContent>
  <xr:revisionPtr revIDLastSave="479" documentId="13_ncr:1_{AB1C760A-6F50-4288-9593-C282DC1CC38D}" xr6:coauthVersionLast="47" xr6:coauthVersionMax="47" xr10:uidLastSave="{96D27858-47B0-418E-8FDC-7CF9163FEE8C}"/>
  <bookViews>
    <workbookView minimized="1" xWindow="33855" yWindow="5400" windowWidth="17280" windowHeight="10110" xr2:uid="{00000000-000D-0000-FFFF-FFFF00000000}"/>
  </bookViews>
  <sheets>
    <sheet name="BNPL functional" sheetId="1" r:id="rId1"/>
    <sheet name="User Managment" sheetId="10" r:id="rId2"/>
    <sheet name="BNPL user stories" sheetId="9" r:id="rId3"/>
    <sheet name="Admin -UI" sheetId="4" r:id="rId4"/>
    <sheet name="Devops-infra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10" l="1"/>
  <c r="J18" i="10" s="1"/>
  <c r="J20" i="10" s="1"/>
  <c r="I17" i="10"/>
  <c r="I18" i="10" s="1"/>
  <c r="H17" i="10"/>
  <c r="H18" i="10" s="1"/>
  <c r="G17" i="10"/>
  <c r="G18" i="10" s="1"/>
  <c r="G19" i="10" s="1"/>
  <c r="E17" i="10"/>
  <c r="E18" i="10" s="1"/>
  <c r="E19" i="10" s="1"/>
  <c r="D17" i="10"/>
  <c r="D18" i="10" s="1"/>
  <c r="D19" i="10" s="1"/>
  <c r="C17" i="10"/>
  <c r="C18" i="10" s="1"/>
  <c r="C19" i="10" s="1"/>
  <c r="H20" i="10" l="1"/>
  <c r="H19" i="10"/>
  <c r="H21" i="10" s="1"/>
  <c r="I20" i="10"/>
  <c r="I19" i="10"/>
  <c r="I21" i="10" s="1"/>
  <c r="J19" i="10"/>
  <c r="J21" i="10" s="1"/>
  <c r="E36" i="4"/>
  <c r="E37" i="4" s="1"/>
  <c r="E38" i="4" s="1"/>
  <c r="D36" i="4"/>
  <c r="D37" i="4" s="1"/>
  <c r="D38" i="4" s="1"/>
  <c r="C36" i="4"/>
  <c r="C37" i="4" s="1"/>
  <c r="C38" i="4" s="1"/>
  <c r="H34" i="4"/>
  <c r="G34" i="4"/>
  <c r="F34" i="4"/>
  <c r="H33" i="4"/>
  <c r="G33" i="4"/>
  <c r="F33" i="4"/>
  <c r="H32" i="4"/>
  <c r="G32" i="4"/>
  <c r="F32" i="4"/>
  <c r="H31" i="4"/>
  <c r="G31" i="4"/>
  <c r="F31" i="4"/>
  <c r="H3" i="4"/>
  <c r="G3" i="4"/>
  <c r="F3" i="4"/>
  <c r="H2" i="4"/>
  <c r="G2" i="4"/>
  <c r="F2" i="4"/>
  <c r="J32" i="4" l="1"/>
  <c r="J2" i="4"/>
  <c r="G36" i="4"/>
  <c r="G37" i="4" s="1"/>
  <c r="G38" i="4" s="1"/>
  <c r="I3" i="4"/>
  <c r="I34" i="4"/>
  <c r="J33" i="4"/>
  <c r="J3" i="4"/>
  <c r="H36" i="4"/>
  <c r="H37" i="4" s="1"/>
  <c r="H38" i="4" s="1"/>
  <c r="I33" i="4"/>
  <c r="I31" i="4"/>
  <c r="J31" i="4"/>
  <c r="I2" i="4"/>
  <c r="J34" i="4"/>
  <c r="I32" i="4"/>
  <c r="J36" i="4" l="1"/>
  <c r="J37" i="4" s="1"/>
  <c r="J38" i="4" s="1"/>
  <c r="I36" i="4"/>
  <c r="I37" i="4" s="1"/>
  <c r="I38" i="4" s="1"/>
  <c r="E14" i="8"/>
  <c r="E15" i="8" s="1"/>
  <c r="E16" i="8" s="1"/>
  <c r="D14" i="8"/>
  <c r="D15" i="8" s="1"/>
  <c r="D16" i="8" s="1"/>
  <c r="C14" i="8"/>
  <c r="C15" i="8" s="1"/>
  <c r="C16" i="8" s="1"/>
  <c r="H10" i="8"/>
  <c r="I10" i="8" s="1"/>
  <c r="G10" i="8"/>
  <c r="F10" i="8"/>
  <c r="H9" i="8"/>
  <c r="J9" i="8" s="1"/>
  <c r="G9" i="8"/>
  <c r="F9" i="8"/>
  <c r="H8" i="8"/>
  <c r="I8" i="8" s="1"/>
  <c r="G8" i="8"/>
  <c r="F8" i="8"/>
  <c r="H7" i="8"/>
  <c r="J7" i="8" s="1"/>
  <c r="G7" i="8"/>
  <c r="F7" i="8"/>
  <c r="H3" i="8"/>
  <c r="G3" i="8"/>
  <c r="F3" i="8"/>
  <c r="H2" i="8"/>
  <c r="G2" i="8"/>
  <c r="F2" i="8"/>
  <c r="I7" i="8" l="1"/>
  <c r="J10" i="8"/>
  <c r="H14" i="8"/>
  <c r="H15" i="8" s="1"/>
  <c r="H16" i="8" s="1"/>
  <c r="I3" i="8"/>
  <c r="G14" i="8"/>
  <c r="G15" i="8" s="1"/>
  <c r="G16" i="8" s="1"/>
  <c r="I2" i="8"/>
  <c r="J2" i="8"/>
  <c r="J8" i="8"/>
  <c r="J3" i="8"/>
  <c r="I9" i="8"/>
  <c r="J14" i="8" l="1"/>
  <c r="J15" i="8" s="1"/>
  <c r="J16" i="8" s="1"/>
  <c r="I14" i="8"/>
  <c r="I15" i="8" s="1"/>
  <c r="I16" i="8" s="1"/>
  <c r="G50" i="1" l="1"/>
  <c r="G51" i="1" s="1"/>
  <c r="G52" i="1" s="1"/>
  <c r="C50" i="1"/>
  <c r="C51" i="1" s="1"/>
  <c r="C52" i="1" s="1"/>
  <c r="D50" i="1"/>
  <c r="D51" i="1" s="1"/>
  <c r="D52" i="1" s="1"/>
  <c r="E50" i="1"/>
  <c r="E51" i="1" s="1"/>
  <c r="E52" i="1" s="1"/>
  <c r="I50" i="1" l="1"/>
  <c r="H50" i="1"/>
  <c r="H51" i="1" s="1"/>
  <c r="H53" i="1" s="1"/>
  <c r="H52" i="1" l="1"/>
  <c r="H54" i="1" s="1"/>
  <c r="I51" i="1"/>
  <c r="I53" i="1" s="1"/>
  <c r="J50" i="1"/>
  <c r="J51" i="1" s="1"/>
  <c r="J53" i="1" s="1"/>
  <c r="J52" i="1" l="1"/>
  <c r="J54" i="1" s="1"/>
  <c r="I52" i="1"/>
  <c r="I54" i="1" s="1"/>
</calcChain>
</file>

<file path=xl/sharedStrings.xml><?xml version="1.0" encoding="utf-8"?>
<sst xmlns="http://schemas.openxmlformats.org/spreadsheetml/2006/main" count="215" uniqueCount="150">
  <si>
    <t>Epic/Story/Task</t>
  </si>
  <si>
    <t>%</t>
  </si>
  <si>
    <t>Optimistic</t>
  </si>
  <si>
    <t>Best guess</t>
  </si>
  <si>
    <t xml:space="preserve"> Pessimistic</t>
  </si>
  <si>
    <t>Standard Deviation</t>
  </si>
  <si>
    <t>Triangular Distribution</t>
  </si>
  <si>
    <t>Three-point estimation</t>
  </si>
  <si>
    <t xml:space="preserve">Delivery Range </t>
  </si>
  <si>
    <t>Merchant Module:  "User Management" section, Create Branch</t>
  </si>
  <si>
    <t>Merchant Module:  "User Management" section, Create Desk</t>
  </si>
  <si>
    <t>Merchant Module:  "User Management" section, List of users (employees) with search</t>
  </si>
  <si>
    <t>Merchant Module:  "User Management" section, Filtering for the list of users</t>
  </si>
  <si>
    <t>Merchant Module: "User Management" section, Reset Passwords for employees</t>
  </si>
  <si>
    <t>Merchant Module:  "User Management" section, Assign users to branches</t>
  </si>
  <si>
    <t>Merchant Module:  "User Management" section, Assign users to desks</t>
  </si>
  <si>
    <t>Merchant Module:  "Merchant Dashboard" section, summarized</t>
  </si>
  <si>
    <t>Merchant Module:  "Merchant Orders section", List of Orders via several columns</t>
  </si>
  <si>
    <t>Merchant Module :  "MerchantOrders section", Search option with some of the filters</t>
  </si>
  <si>
    <t>Merchant Module :  "Merchant Orders section", Export functionality</t>
  </si>
  <si>
    <t>Merchant Module :  "Merchant Applications", Receiving information via email</t>
  </si>
  <si>
    <t>Merchant Module :  "Merchant Applications", Receiving information via web nothifications</t>
  </si>
  <si>
    <t>Merchant Module :  "Merchant Applications", Receiving information via sms</t>
  </si>
  <si>
    <t>Merchant Module :  "Merchant Administrative section", Information section for merchant</t>
  </si>
  <si>
    <t>Merchant Module :  "Merchant Administrative section", Security section</t>
  </si>
  <si>
    <t>Merchant Module :  "Merchant Administrative section", Password reset</t>
  </si>
  <si>
    <t>Merchant Module :  "Merchant Administrative section", Notification Settings</t>
  </si>
  <si>
    <t>User Module: "User Management": Login with temp pass</t>
  </si>
  <si>
    <t>User Module: "User Management": Login with a permanent (standard) pass</t>
  </si>
  <si>
    <t>User Module: "User Management": Forgot password</t>
  </si>
  <si>
    <t>User Module: "User Management": Blocking for a wrong pass</t>
  </si>
  <si>
    <t>User Module: "User Dashboard": Current (Available) Limit</t>
  </si>
  <si>
    <t>User Module: "User Dashboard": Upcoming Payments</t>
  </si>
  <si>
    <t>User Module: "User Dashboard": Transactions' history section with filtering</t>
  </si>
  <si>
    <t>User Module: "Payment Method's section":  View attached cards</t>
  </si>
  <si>
    <t>User Module: "Payment Method's section":  Add a new card</t>
  </si>
  <si>
    <t>User Module: "Payment Method's section":  Remove attached card</t>
  </si>
  <si>
    <t>User Module:  "User Applications", Receiving an invitation link and Temp. pass for a new deal</t>
  </si>
  <si>
    <t>User Module:  "User Applications", Terms and conditions page before finalization of the application</t>
  </si>
  <si>
    <t>User Module:  "User Applications", Delivery of the agreements to the user via e-mail, after approving the application</t>
  </si>
  <si>
    <t>User Module:  "User Management", profile</t>
  </si>
  <si>
    <t>User Module:  "User Management", Password and Security</t>
  </si>
  <si>
    <t>User Module:  "User Management", Support</t>
  </si>
  <si>
    <t>Admin Panel: "Fee management section", "Fee per transaction"</t>
  </si>
  <si>
    <t>Admin Panel: "Fee management section", "Fee based on the deal amount"</t>
  </si>
  <si>
    <t>Admin Panel: "Fee management section", "Cancelation fee"</t>
  </si>
  <si>
    <t>Admin Panel: "Fee management section", "Overdue fee"</t>
  </si>
  <si>
    <t>Admin Panel: "Merchant management", List of Merchants</t>
  </si>
  <si>
    <t>Admin Panel: "Merchant management", Create New Merchants</t>
  </si>
  <si>
    <t>Admin Panel: "Merchant management", Create Branches for Merchants</t>
  </si>
  <si>
    <t>Admin Panel: "Merchant management", Create Desks for Merchant's branches</t>
  </si>
  <si>
    <t>Admin Panel: "Merchant management", Manage (block, deactivate, etc) merchants</t>
  </si>
  <si>
    <t>Admin Panel: "Agreement management section", Overdue Template</t>
  </si>
  <si>
    <t>Admin Panel:  "Merchant Orders section", List of Orders via several columns</t>
  </si>
  <si>
    <t>Admin Panel:  "MerchantOrders section", Search option with some of the filters</t>
  </si>
  <si>
    <t>Admin Panel:  "Merchant Orders section", Export functionality</t>
  </si>
  <si>
    <t>Admin Panel:  "Merchant Orders section", Applications Refund</t>
  </si>
  <si>
    <t>Admin Panel:  "Admin Dashboard" section, summarized</t>
  </si>
  <si>
    <t>Core estimation</t>
  </si>
  <si>
    <t>Load persentage (for Agile) %</t>
  </si>
  <si>
    <t>Management Risk %</t>
  </si>
  <si>
    <t>Total</t>
  </si>
  <si>
    <t>Develpers</t>
  </si>
  <si>
    <t>ID</t>
  </si>
  <si>
    <t>Title</t>
  </si>
  <si>
    <t>Parent</t>
  </si>
  <si>
    <t>As an admin user I want to have New Financing agreement template in admin portal so that I can create an agreement to send to the users when financing</t>
  </si>
  <si>
    <t>As an admin user, I want to have a Repayment template in admin portal, so that I can create an agreement to send to the users when making a repayment</t>
  </si>
  <si>
    <t>As an admin user, I want to have Closure Template in admin portal, so that I can create an agreement to send to the users when closing the debts</t>
  </si>
  <si>
    <t>As an admin user, I want to have Overdue Template in admin portal, so that I can create an agreement to send to the users when they will miss the scheduled payments</t>
  </si>
  <si>
    <t>As an admin user, I want to have fixed fee per request, so that I can charge merchants when requesting for new financing</t>
  </si>
  <si>
    <t>As an admin user, I want to have fixed fee per transaction, so that I can charge merchants when financing users</t>
  </si>
  <si>
    <t>As an admin user, I want to have amount based fee, so that I can charge merchants when providing new financing</t>
  </si>
  <si>
    <t>As an admin user, I want to have Cancelation fee, so that I can charge users when canceling the deal</t>
  </si>
  <si>
    <t>As an admin user, I want to have Subscription fee, so that I can periodically charge users for using the service</t>
  </si>
  <si>
    <t>As an admin user, I want to have Overdue fee, so that I can charge the users who will not pay in time.</t>
  </si>
  <si>
    <t>As an admin user, I want to create new merchants, so that they can start using the product</t>
  </si>
  <si>
    <t>As an admin user, I want to open new branches for Merchants, so that they can user the product in different locations</t>
  </si>
  <si>
    <t>As an admin user, I want to create desks for branches so that merchants could serve their customers via multiple desks in branches</t>
  </si>
  <si>
    <t>As an admin user, I want to create new users for merchants, so that can user the product</t>
  </si>
  <si>
    <t>As an admin user, I want to have the list of Merchants so that I can manage them</t>
  </si>
  <si>
    <t>As an admin user, I want to have the list of Merchants' desks so that I can manage them</t>
  </si>
  <si>
    <t>As an admin user, I want to have the list of Merchants' users so that I can manage them</t>
  </si>
  <si>
    <t>As an admin user, I want to have block/unblock, activate/deactivate functions for merchants, so that I can manage them.</t>
  </si>
  <si>
    <t>As an admin user, I want to have block/unblock, activate/deactivate functions for merchants' desks, so that I can manage them</t>
  </si>
  <si>
    <t>As an admin user, I want to have block/unblock, activate/deactivate functions for merchants' users, so that I can manage them</t>
  </si>
  <si>
    <t>As an admin user, I want to have the list of orders so that I can view them</t>
  </si>
  <si>
    <t>As an admin user, I want to have several search options in the list of orders so that I can search them easily</t>
  </si>
  <si>
    <t>As an admin user, I want to have refund functionality, so that I can refund the orders</t>
  </si>
  <si>
    <t>As an admin user, I want to export all the list that will be available in admin panel</t>
  </si>
  <si>
    <t>As an admin user I want to create other admin users so that my colleagues could use the admin portal</t>
  </si>
  <si>
    <t>As an admin user, I want to have the list of admin users, so that I can view them</t>
  </si>
  <si>
    <t>As an admin user, I wan to have search option with several filters in admin users' list so that I can search them easily</t>
  </si>
  <si>
    <t>As a super admin user I want to have role management so that I can manage other admin users</t>
  </si>
  <si>
    <t>As an admin user, I want to have reset password functionality, so that I can send new temp passwords to other admin users</t>
  </si>
  <si>
    <t>As an admin user I want to have users' role management so that I can set roles for merchants' users</t>
  </si>
  <si>
    <t>As an admin user I want to block/unblock, activate/deactivate merchants' users so that I can manage them</t>
  </si>
  <si>
    <t>As an admin user, I want to assign merchants' users to branches and to desks, so that they can start using the product</t>
  </si>
  <si>
    <t>As an admin user, I want to have search option with filtering in the merchants' users' list, so that I can find them easily</t>
  </si>
  <si>
    <t>As a merchant, I want to have Profile section so that I can provide/edit information about my company</t>
  </si>
  <si>
    <t>As a merchant, I want to have security section so that I can change my password</t>
  </si>
  <si>
    <t>As a merchant, I want to have logout button, so that I can log out from the system</t>
  </si>
  <si>
    <t>Task</t>
  </si>
  <si>
    <t>Story 1</t>
  </si>
  <si>
    <t>Story 2</t>
  </si>
  <si>
    <t>Move LeafLogix API to staging</t>
  </si>
  <si>
    <t>Move LeafLogix API to production</t>
  </si>
  <si>
    <t>Message Broker High Availabilty setup</t>
  </si>
  <si>
    <t>Distributed Cache High Availability setup</t>
  </si>
  <si>
    <t xml:space="preserve">RDS replication and monitorig setup </t>
  </si>
  <si>
    <t>K8 Development enviroment</t>
  </si>
  <si>
    <t>K8 Stage enviroment</t>
  </si>
  <si>
    <t>K8 Production enviroment</t>
  </si>
  <si>
    <t>Monitoring and Metrics Setup</t>
  </si>
  <si>
    <t>Centralize logging setup</t>
  </si>
  <si>
    <t>Vault Centralization</t>
  </si>
  <si>
    <t>Agreement management</t>
  </si>
  <si>
    <t>Fee management</t>
  </si>
  <si>
    <t>Merchant management</t>
  </si>
  <si>
    <t>Applications Management</t>
  </si>
  <si>
    <t>User Management</t>
  </si>
  <si>
    <t>Admin Panel</t>
  </si>
  <si>
    <t>Parent Name</t>
  </si>
  <si>
    <t>Initial Skeleton creation</t>
  </si>
  <si>
    <t>Infrastructure preperation</t>
  </si>
  <si>
    <t>As a user, when logging in via a temporary password, I want to set a new pass</t>
  </si>
  <si>
    <t>As a user, when providing my username and password correctly I want to be logged in, so that I can use the system</t>
  </si>
  <si>
    <t>As a user, I want to have Forgot Password functionality so that I can recover my password in case I will forget it</t>
  </si>
  <si>
    <t>As a user, when providing wrong pass more then 3 times I want my user to be blocked, to prevent frauds</t>
  </si>
  <si>
    <t>As a user, I want to have payments section, so that I can view my view my attached cards</t>
  </si>
  <si>
    <t>As a user, I want to have add card functionality so that I can add another card for repayments</t>
  </si>
  <si>
    <t>As a user, I want to have remove card function so that I can remove the cards that are not useful</t>
  </si>
  <si>
    <t>As a user, I want to receive invitation link for new application so that I can start the financing flow</t>
  </si>
  <si>
    <t>As a user, I want to receive a temp pass for the system so that I can login for the first time</t>
  </si>
  <si>
    <t>As a user I want to have Terms and Conditions in new application final page, so that I can review it</t>
  </si>
  <si>
    <t>As a user, I want to receive agreements when successfully passing the new financing flow, so that I can have them</t>
  </si>
  <si>
    <t>As a user., I want to have my profile section, so that I can view/edit information about me</t>
  </si>
  <si>
    <t>As a user, I want to have change password functionality in more section, so that I can change my pass</t>
  </si>
  <si>
    <t>As a user I want to have support section so that I can contact support team to help me with issues</t>
  </si>
  <si>
    <t>As a user, I want to have logout button so that I can log out from the system</t>
  </si>
  <si>
    <t>User Module:  "User Applications", New Application Functionality (draw by Corzoid flow)</t>
  </si>
  <si>
    <t>Merchant Module :  "Merchant refund feature", cancel applications (draw by Corzoid flow)</t>
  </si>
  <si>
    <t>Merchant Module :  "Merchant Applications", New Application Functionality (draw by Corzoid flow)</t>
  </si>
  <si>
    <t>Merchant Module :  "Merchant Orders section", Applications Refund (draw by Corzoid flow)</t>
  </si>
  <si>
    <t>Merchant Module :  "Merchant Applications", Creditworthiness checking (consider Integration)</t>
  </si>
  <si>
    <t>User Module:  "User Applications", Card attachment process during the financing flow (integration)</t>
  </si>
  <si>
    <t>User Module:  "User Applications", Data finalization and approval for final approval (draw by Corzoid flow)</t>
  </si>
  <si>
    <t>Admin Panel: "Agreement management section", New financing agreement (draw by Corzoid flow)</t>
  </si>
  <si>
    <t>Integration with FI</t>
  </si>
  <si>
    <t>User Management (Integration)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</si>
</sst>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theme="1"/>
      <name val="GHEA Grapalat"/>
      <family val="3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" xfId="0" applyFont="1" applyBorder="1"/>
    <xf numFmtId="0" fontId="1" fillId="0" borderId="13" xfId="0" applyFont="1" applyBorder="1"/>
    <xf numFmtId="0" fontId="1" fillId="0" borderId="1" xfId="0" applyFont="1" applyBorder="1"/>
    <xf numFmtId="0" fontId="2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0" xfId="0" applyFill="1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1" fillId="0" borderId="0" xfId="0" applyFont="1"/>
    <xf numFmtId="0" fontId="2" fillId="0" borderId="10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2" borderId="0" xfId="0" applyFont="1" applyFill="1" applyAlignment="1">
      <alignment vertical="center" wrapText="1"/>
    </xf>
    <xf numFmtId="0" fontId="0" fillId="2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" fillId="2" borderId="0" xfId="0" applyFont="1" applyFill="1"/>
    <xf numFmtId="0" fontId="4" fillId="0" borderId="0" xfId="0" applyFont="1"/>
    <xf numFmtId="0" fontId="1" fillId="0" borderId="14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4"/>
  <sheetViews>
    <sheetView tabSelected="1" topLeftCell="A19" workbookViewId="0">
      <selection activeCell="A2" sqref="A2:E48"/>
    </sheetView>
  </sheetViews>
  <sheetFormatPr defaultRowHeight="14.4"/>
  <cols>
    <col min="1" max="1" width="135" customWidth="1"/>
    <col min="2" max="2" width="34.44140625" customWidth="1"/>
    <col min="3" max="3" width="14" style="1" customWidth="1"/>
    <col min="4" max="4" width="15.109375" style="1" customWidth="1"/>
    <col min="5" max="5" width="15.88671875" style="1" customWidth="1"/>
    <col min="6" max="7" width="28.33203125" style="1" customWidth="1"/>
    <col min="8" max="8" width="30.88671875" style="1" customWidth="1"/>
    <col min="9" max="9" width="13.6640625" customWidth="1"/>
    <col min="10" max="10" width="13.44140625" customWidth="1"/>
  </cols>
  <sheetData>
    <row r="1" spans="1:71" ht="21.6" thickBot="1">
      <c r="A1" s="8" t="s">
        <v>0</v>
      </c>
      <c r="B1" s="11" t="s">
        <v>1</v>
      </c>
      <c r="C1" s="7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23" t="s">
        <v>7</v>
      </c>
      <c r="I1" s="38" t="s">
        <v>8</v>
      </c>
      <c r="J1" s="39"/>
    </row>
    <row r="2" spans="1:71" s="17" customFormat="1">
      <c r="A2" t="s">
        <v>123</v>
      </c>
      <c r="B2"/>
      <c r="C2" s="20">
        <v>2</v>
      </c>
      <c r="D2" s="20">
        <v>3</v>
      </c>
      <c r="E2" s="20">
        <v>4</v>
      </c>
      <c r="F2" s="19"/>
      <c r="G2" s="19"/>
      <c r="H2" s="19"/>
      <c r="I2" s="19"/>
      <c r="J2" s="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</row>
    <row r="3" spans="1:71" s="17" customFormat="1">
      <c r="A3" t="s">
        <v>124</v>
      </c>
      <c r="B3"/>
      <c r="C3" s="20">
        <v>4</v>
      </c>
      <c r="D3" s="20">
        <v>5</v>
      </c>
      <c r="E3" s="20">
        <v>6</v>
      </c>
      <c r="F3" s="19"/>
      <c r="G3" s="19"/>
      <c r="H3" s="19"/>
      <c r="I3" s="19"/>
      <c r="J3" s="2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</row>
    <row r="4" spans="1:71" s="17" customFormat="1">
      <c r="A4" t="s">
        <v>149</v>
      </c>
      <c r="B4"/>
      <c r="C4" s="20">
        <v>5</v>
      </c>
      <c r="D4" s="20">
        <v>10</v>
      </c>
      <c r="E4" s="20">
        <v>15</v>
      </c>
      <c r="F4" s="19"/>
      <c r="G4" s="19"/>
      <c r="H4" s="19"/>
      <c r="I4" s="19"/>
      <c r="J4" s="2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</row>
    <row r="5" spans="1:71" s="17" customFormat="1">
      <c r="A5" t="s">
        <v>16</v>
      </c>
      <c r="B5"/>
      <c r="C5" s="20">
        <v>1</v>
      </c>
      <c r="D5" s="20">
        <v>2</v>
      </c>
      <c r="E5" s="20">
        <v>3</v>
      </c>
      <c r="F5" s="19"/>
      <c r="G5" s="19"/>
      <c r="H5" s="19"/>
      <c r="I5" s="19"/>
      <c r="J5" s="2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</row>
    <row r="6" spans="1:71" s="17" customFormat="1">
      <c r="A6" t="s">
        <v>17</v>
      </c>
      <c r="B6"/>
      <c r="C6" s="20">
        <v>3</v>
      </c>
      <c r="D6" s="20">
        <v>4</v>
      </c>
      <c r="E6" s="20">
        <v>5</v>
      </c>
      <c r="F6" s="19"/>
      <c r="G6" s="19"/>
      <c r="H6" s="19"/>
      <c r="I6" s="19"/>
      <c r="J6" s="2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</row>
    <row r="7" spans="1:71" s="17" customFormat="1">
      <c r="A7" t="s">
        <v>18</v>
      </c>
      <c r="B7"/>
      <c r="C7" s="21">
        <v>2</v>
      </c>
      <c r="D7" s="21">
        <v>3</v>
      </c>
      <c r="E7" s="21">
        <v>4</v>
      </c>
      <c r="F7" s="19"/>
      <c r="G7" s="19"/>
      <c r="H7" s="19"/>
      <c r="I7" s="19"/>
      <c r="J7" s="2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</row>
    <row r="8" spans="1:71" s="17" customFormat="1">
      <c r="A8" t="s">
        <v>19</v>
      </c>
      <c r="B8"/>
      <c r="C8" s="21">
        <v>4</v>
      </c>
      <c r="D8" s="21">
        <v>5</v>
      </c>
      <c r="E8" s="21">
        <v>6</v>
      </c>
      <c r="F8" s="19"/>
      <c r="G8" s="19"/>
      <c r="H8" s="19"/>
      <c r="I8" s="19"/>
      <c r="J8" s="2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</row>
    <row r="9" spans="1:71" s="17" customFormat="1">
      <c r="A9" s="17" t="s">
        <v>143</v>
      </c>
      <c r="C9" s="29"/>
      <c r="D9" s="29"/>
      <c r="E9" s="29"/>
      <c r="F9" s="30"/>
      <c r="G9" s="30"/>
      <c r="H9" s="30"/>
      <c r="I9" s="30"/>
      <c r="J9" s="31"/>
    </row>
    <row r="10" spans="1:71" s="17" customFormat="1">
      <c r="A10" s="17" t="s">
        <v>142</v>
      </c>
      <c r="C10" s="32"/>
      <c r="D10" s="32"/>
      <c r="E10" s="32"/>
      <c r="F10" s="30"/>
      <c r="G10" s="30"/>
      <c r="H10" s="30"/>
      <c r="I10" s="30"/>
      <c r="J10" s="31"/>
    </row>
    <row r="11" spans="1:71" s="17" customFormat="1">
      <c r="A11" t="s">
        <v>144</v>
      </c>
      <c r="B11"/>
      <c r="C11" s="20">
        <v>5</v>
      </c>
      <c r="D11" s="20">
        <v>10</v>
      </c>
      <c r="E11" s="20">
        <v>15</v>
      </c>
      <c r="F11" s="19"/>
      <c r="G11" s="19"/>
      <c r="H11" s="19"/>
      <c r="I11" s="19"/>
      <c r="J11" s="2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</row>
    <row r="12" spans="1:71" s="17" customFormat="1">
      <c r="A12" t="s">
        <v>20</v>
      </c>
      <c r="B12"/>
      <c r="C12" s="20">
        <v>3</v>
      </c>
      <c r="D12" s="20">
        <v>4</v>
      </c>
      <c r="E12" s="20">
        <v>5</v>
      </c>
      <c r="F12" s="19"/>
      <c r="G12" s="19"/>
      <c r="H12" s="19"/>
      <c r="I12" s="19"/>
      <c r="J12" s="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</row>
    <row r="13" spans="1:71" s="17" customFormat="1">
      <c r="A13" t="s">
        <v>21</v>
      </c>
      <c r="B13"/>
      <c r="C13" s="20">
        <v>2</v>
      </c>
      <c r="D13" s="20">
        <v>3</v>
      </c>
      <c r="E13" s="20">
        <v>4</v>
      </c>
      <c r="F13" s="19"/>
      <c r="G13" s="19"/>
      <c r="H13" s="19"/>
      <c r="I13" s="19"/>
      <c r="J13" s="2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</row>
    <row r="14" spans="1:71" s="17" customFormat="1">
      <c r="A14" t="s">
        <v>22</v>
      </c>
      <c r="B14"/>
      <c r="C14" s="21">
        <v>2</v>
      </c>
      <c r="D14" s="21">
        <v>3</v>
      </c>
      <c r="E14" s="21">
        <v>4</v>
      </c>
      <c r="F14" s="19"/>
      <c r="G14" s="19"/>
      <c r="H14" s="19"/>
      <c r="I14" s="19"/>
      <c r="J14" s="2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</row>
    <row r="15" spans="1:71" s="17" customFormat="1">
      <c r="A15" t="s">
        <v>23</v>
      </c>
      <c r="B15"/>
      <c r="C15" s="21">
        <v>2</v>
      </c>
      <c r="D15" s="21">
        <v>3</v>
      </c>
      <c r="E15" s="21">
        <v>4</v>
      </c>
      <c r="F15" s="19"/>
      <c r="G15" s="19"/>
      <c r="H15" s="19"/>
      <c r="I15" s="19"/>
      <c r="J15" s="2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</row>
    <row r="16" spans="1:71" s="17" customFormat="1">
      <c r="A16" t="s">
        <v>24</v>
      </c>
      <c r="B16"/>
      <c r="C16" s="21">
        <v>2</v>
      </c>
      <c r="D16" s="21">
        <v>3</v>
      </c>
      <c r="E16" s="21">
        <v>4</v>
      </c>
      <c r="F16" s="19"/>
      <c r="G16" s="19"/>
      <c r="H16" s="19"/>
      <c r="I16" s="19"/>
      <c r="J16" s="2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</row>
    <row r="17" spans="1:71" s="17" customFormat="1">
      <c r="A17" t="s">
        <v>25</v>
      </c>
      <c r="B17"/>
      <c r="C17" s="21">
        <v>2</v>
      </c>
      <c r="D17" s="21">
        <v>3</v>
      </c>
      <c r="E17" s="21">
        <v>4</v>
      </c>
      <c r="F17" s="19"/>
      <c r="G17" s="19"/>
      <c r="H17" s="19"/>
      <c r="I17" s="19"/>
      <c r="J17" s="2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</row>
    <row r="18" spans="1:71" s="17" customFormat="1">
      <c r="A18" t="s">
        <v>26</v>
      </c>
      <c r="B18"/>
      <c r="C18" s="21">
        <v>3</v>
      </c>
      <c r="D18" s="21">
        <v>4</v>
      </c>
      <c r="E18" s="21">
        <v>5</v>
      </c>
      <c r="F18" s="19"/>
      <c r="G18" s="19"/>
      <c r="H18" s="19"/>
      <c r="I18" s="19"/>
      <c r="J18" s="2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</row>
    <row r="19" spans="1:71" s="17" customFormat="1">
      <c r="A19" s="17" t="s">
        <v>141</v>
      </c>
      <c r="C19" s="32"/>
      <c r="D19" s="32"/>
      <c r="E19" s="32"/>
      <c r="F19" s="30"/>
      <c r="G19" s="30"/>
      <c r="H19" s="30"/>
      <c r="I19" s="30"/>
      <c r="J19" s="31"/>
    </row>
    <row r="20" spans="1:71" s="17" customFormat="1">
      <c r="A20" t="s">
        <v>31</v>
      </c>
      <c r="B20"/>
      <c r="C20" s="21">
        <v>1</v>
      </c>
      <c r="D20" s="21">
        <v>2</v>
      </c>
      <c r="E20" s="21">
        <v>3</v>
      </c>
      <c r="F20" s="19"/>
      <c r="G20" s="19"/>
      <c r="H20" s="19"/>
      <c r="I20" s="19"/>
      <c r="J20" s="2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</row>
    <row r="21" spans="1:71" s="17" customFormat="1">
      <c r="A21" t="s">
        <v>32</v>
      </c>
      <c r="B21"/>
      <c r="C21" s="21">
        <v>2</v>
      </c>
      <c r="D21" s="21">
        <v>3</v>
      </c>
      <c r="E21" s="21">
        <v>4</v>
      </c>
      <c r="F21" s="19"/>
      <c r="G21" s="19"/>
      <c r="H21" s="19"/>
      <c r="I21" s="19"/>
      <c r="J21" s="2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</row>
    <row r="22" spans="1:71" s="17" customFormat="1">
      <c r="A22" t="s">
        <v>33</v>
      </c>
      <c r="B22"/>
      <c r="C22" s="21">
        <v>3</v>
      </c>
      <c r="D22" s="21">
        <v>4</v>
      </c>
      <c r="E22" s="21">
        <v>5</v>
      </c>
      <c r="F22" s="19"/>
      <c r="G22" s="19"/>
      <c r="H22" s="19"/>
      <c r="I22" s="19"/>
      <c r="J22" s="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</row>
    <row r="23" spans="1:71" s="17" customFormat="1">
      <c r="A23" t="s">
        <v>34</v>
      </c>
      <c r="B23"/>
      <c r="C23" s="21">
        <v>3</v>
      </c>
      <c r="D23" s="21">
        <v>4</v>
      </c>
      <c r="E23" s="21">
        <v>5</v>
      </c>
      <c r="F23" s="19"/>
      <c r="G23" s="19"/>
      <c r="H23" s="19"/>
      <c r="I23" s="19"/>
      <c r="J23" s="2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</row>
    <row r="24" spans="1:71" s="17" customFormat="1">
      <c r="A24" t="s">
        <v>35</v>
      </c>
      <c r="B24"/>
      <c r="C24" s="21">
        <v>1</v>
      </c>
      <c r="D24" s="21">
        <v>2</v>
      </c>
      <c r="E24" s="21">
        <v>3</v>
      </c>
      <c r="F24" s="19"/>
      <c r="G24" s="19"/>
      <c r="H24" s="19"/>
      <c r="I24" s="19"/>
      <c r="J24" s="2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</row>
    <row r="25" spans="1:71" s="17" customFormat="1">
      <c r="A25" t="s">
        <v>36</v>
      </c>
      <c r="B25"/>
      <c r="C25" s="21">
        <v>1</v>
      </c>
      <c r="D25" s="21">
        <v>2</v>
      </c>
      <c r="E25" s="21">
        <v>3</v>
      </c>
      <c r="F25" s="19"/>
      <c r="G25" s="19"/>
      <c r="H25" s="19"/>
      <c r="I25" s="19"/>
      <c r="J25" s="2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</row>
    <row r="26" spans="1:71" s="17" customFormat="1">
      <c r="A26" s="17" t="s">
        <v>140</v>
      </c>
      <c r="C26" s="32"/>
      <c r="D26" s="32"/>
      <c r="E26" s="32"/>
      <c r="F26" s="30"/>
      <c r="G26" s="30"/>
      <c r="H26" s="30"/>
      <c r="I26" s="30"/>
      <c r="J26" s="31"/>
    </row>
    <row r="27" spans="1:71" s="17" customFormat="1">
      <c r="A27" t="s">
        <v>37</v>
      </c>
      <c r="B27"/>
      <c r="C27" s="21">
        <v>1</v>
      </c>
      <c r="D27" s="21">
        <v>2</v>
      </c>
      <c r="E27" s="21">
        <v>3</v>
      </c>
      <c r="F27" s="19"/>
      <c r="G27" s="19"/>
      <c r="H27" s="19"/>
      <c r="I27" s="19"/>
      <c r="J27" s="2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</row>
    <row r="28" spans="1:71" s="17" customFormat="1">
      <c r="A28" s="17" t="s">
        <v>146</v>
      </c>
      <c r="C28" s="32"/>
      <c r="D28" s="32"/>
      <c r="E28" s="32"/>
      <c r="F28" s="30"/>
      <c r="G28" s="30"/>
      <c r="H28" s="30"/>
      <c r="I28" s="30"/>
      <c r="J28" s="31"/>
    </row>
    <row r="29" spans="1:71" s="17" customFormat="1">
      <c r="A29" t="s">
        <v>38</v>
      </c>
      <c r="B29"/>
      <c r="C29" s="21">
        <v>1</v>
      </c>
      <c r="D29" s="21">
        <v>2</v>
      </c>
      <c r="E29" s="21">
        <v>3</v>
      </c>
      <c r="F29" s="19"/>
      <c r="G29" s="19"/>
      <c r="H29" s="19"/>
      <c r="I29" s="19"/>
      <c r="J29" s="2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</row>
    <row r="30" spans="1:71" s="17" customFormat="1">
      <c r="A30" t="s">
        <v>145</v>
      </c>
      <c r="B30"/>
      <c r="C30" s="21">
        <v>5</v>
      </c>
      <c r="D30" s="21">
        <v>10</v>
      </c>
      <c r="E30" s="21">
        <v>15</v>
      </c>
      <c r="F30" s="19"/>
      <c r="G30" s="19"/>
      <c r="H30" s="19"/>
      <c r="I30" s="19"/>
      <c r="J30" s="2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</row>
    <row r="31" spans="1:71" s="17" customFormat="1">
      <c r="A31" t="s">
        <v>39</v>
      </c>
      <c r="B31"/>
      <c r="C31" s="21">
        <v>1</v>
      </c>
      <c r="D31" s="21">
        <v>2</v>
      </c>
      <c r="E31" s="21">
        <v>3</v>
      </c>
      <c r="F31" s="19"/>
      <c r="G31" s="19"/>
      <c r="H31" s="19"/>
      <c r="I31" s="19"/>
      <c r="J31" s="2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</row>
    <row r="32" spans="1:71">
      <c r="A32" t="s">
        <v>43</v>
      </c>
      <c r="C32" s="21">
        <v>1</v>
      </c>
      <c r="D32" s="21">
        <v>2</v>
      </c>
      <c r="E32" s="21">
        <v>2</v>
      </c>
      <c r="F32" s="19"/>
      <c r="G32" s="19"/>
      <c r="H32" s="19"/>
      <c r="I32" s="19"/>
      <c r="J32" s="2"/>
    </row>
    <row r="33" spans="1:10">
      <c r="A33" t="s">
        <v>44</v>
      </c>
      <c r="C33" s="21">
        <v>1</v>
      </c>
      <c r="D33" s="21">
        <v>2</v>
      </c>
      <c r="E33" s="21">
        <v>2</v>
      </c>
      <c r="F33" s="19"/>
      <c r="G33" s="19"/>
      <c r="H33" s="19"/>
      <c r="I33" s="19"/>
      <c r="J33" s="2"/>
    </row>
    <row r="34" spans="1:10">
      <c r="A34" t="s">
        <v>45</v>
      </c>
      <c r="C34" s="21">
        <v>1</v>
      </c>
      <c r="D34" s="21">
        <v>2</v>
      </c>
      <c r="E34" s="21">
        <v>2</v>
      </c>
      <c r="F34" s="19"/>
      <c r="G34" s="19"/>
      <c r="H34" s="19"/>
      <c r="I34" s="19"/>
      <c r="J34" s="2"/>
    </row>
    <row r="35" spans="1:10">
      <c r="A35" t="s">
        <v>46</v>
      </c>
      <c r="C35" s="21">
        <v>1</v>
      </c>
      <c r="D35" s="21">
        <v>2</v>
      </c>
      <c r="E35" s="21">
        <v>2</v>
      </c>
      <c r="F35" s="19"/>
      <c r="G35" s="19"/>
      <c r="H35" s="19"/>
      <c r="I35" s="19"/>
      <c r="J35" s="2"/>
    </row>
    <row r="36" spans="1:10">
      <c r="A36" t="s">
        <v>47</v>
      </c>
      <c r="C36" s="21">
        <v>2</v>
      </c>
      <c r="D36" s="21">
        <v>3</v>
      </c>
      <c r="E36" s="21">
        <v>4</v>
      </c>
      <c r="F36" s="19"/>
      <c r="G36" s="19"/>
      <c r="H36" s="19"/>
      <c r="I36" s="19"/>
      <c r="J36" s="2"/>
    </row>
    <row r="37" spans="1:10">
      <c r="A37" t="s">
        <v>48</v>
      </c>
      <c r="C37" s="21">
        <v>2</v>
      </c>
      <c r="D37" s="21">
        <v>3</v>
      </c>
      <c r="E37" s="21">
        <v>4</v>
      </c>
      <c r="F37" s="19"/>
      <c r="G37" s="19"/>
      <c r="H37" s="19"/>
      <c r="I37" s="19"/>
      <c r="J37" s="2"/>
    </row>
    <row r="38" spans="1:10">
      <c r="A38" t="s">
        <v>49</v>
      </c>
      <c r="C38" s="21">
        <v>1</v>
      </c>
      <c r="D38" s="21">
        <v>2</v>
      </c>
      <c r="E38" s="21">
        <v>3</v>
      </c>
      <c r="F38" s="19"/>
      <c r="G38" s="19"/>
      <c r="H38" s="19"/>
      <c r="I38" s="19"/>
      <c r="J38" s="2"/>
    </row>
    <row r="39" spans="1:10">
      <c r="A39" t="s">
        <v>50</v>
      </c>
      <c r="C39" s="21">
        <v>1</v>
      </c>
      <c r="D39" s="21">
        <v>2</v>
      </c>
      <c r="E39" s="21">
        <v>3</v>
      </c>
      <c r="F39" s="19"/>
      <c r="G39" s="19"/>
      <c r="H39" s="19"/>
      <c r="I39" s="19"/>
      <c r="J39" s="2"/>
    </row>
    <row r="40" spans="1:10">
      <c r="A40" t="s">
        <v>51</v>
      </c>
      <c r="C40" s="21">
        <v>1</v>
      </c>
      <c r="D40" s="21">
        <v>2</v>
      </c>
      <c r="E40" s="21">
        <v>3</v>
      </c>
      <c r="F40" s="19"/>
      <c r="G40" s="19"/>
      <c r="H40" s="19"/>
      <c r="I40" s="19"/>
      <c r="J40" s="2"/>
    </row>
    <row r="41" spans="1:10" s="17" customFormat="1">
      <c r="A41" s="17" t="s">
        <v>147</v>
      </c>
      <c r="C41" s="32"/>
      <c r="D41" s="32"/>
      <c r="E41" s="32"/>
      <c r="F41" s="30"/>
      <c r="G41" s="30"/>
      <c r="H41" s="30"/>
      <c r="I41" s="30"/>
      <c r="J41" s="31"/>
    </row>
    <row r="42" spans="1:10">
      <c r="A42" t="s">
        <v>52</v>
      </c>
      <c r="C42" s="21">
        <v>1</v>
      </c>
      <c r="D42" s="21">
        <v>2</v>
      </c>
      <c r="E42" s="21">
        <v>3</v>
      </c>
      <c r="F42" s="19"/>
      <c r="G42" s="19"/>
      <c r="H42" s="19"/>
      <c r="I42" s="19"/>
      <c r="J42" s="2"/>
    </row>
    <row r="43" spans="1:10">
      <c r="A43" t="s">
        <v>53</v>
      </c>
      <c r="C43" s="21">
        <v>2</v>
      </c>
      <c r="D43" s="21">
        <v>3</v>
      </c>
      <c r="E43" s="21">
        <v>4</v>
      </c>
      <c r="F43" s="19"/>
      <c r="G43" s="19"/>
      <c r="H43" s="19"/>
      <c r="I43" s="19"/>
      <c r="J43" s="2"/>
    </row>
    <row r="44" spans="1:10">
      <c r="A44" t="s">
        <v>54</v>
      </c>
      <c r="C44" s="21">
        <v>2</v>
      </c>
      <c r="D44" s="21">
        <v>3</v>
      </c>
      <c r="E44" s="21">
        <v>4</v>
      </c>
      <c r="F44" s="19"/>
      <c r="G44" s="19"/>
      <c r="H44" s="19"/>
      <c r="I44" s="19"/>
      <c r="J44" s="2"/>
    </row>
    <row r="45" spans="1:10">
      <c r="A45" t="s">
        <v>55</v>
      </c>
      <c r="C45" s="21">
        <v>2</v>
      </c>
      <c r="D45" s="21">
        <v>3</v>
      </c>
      <c r="E45" s="21">
        <v>4</v>
      </c>
      <c r="F45" s="19"/>
      <c r="G45" s="19"/>
      <c r="H45" s="19"/>
      <c r="I45" s="19"/>
      <c r="J45" s="2"/>
    </row>
    <row r="46" spans="1:10">
      <c r="A46" t="s">
        <v>56</v>
      </c>
      <c r="C46" s="21">
        <v>1</v>
      </c>
      <c r="D46" s="21">
        <v>2</v>
      </c>
      <c r="E46" s="21">
        <v>3</v>
      </c>
      <c r="F46" s="19"/>
      <c r="G46" s="19"/>
      <c r="H46" s="19"/>
      <c r="I46" s="19"/>
      <c r="J46" s="2"/>
    </row>
    <row r="47" spans="1:10">
      <c r="A47" t="s">
        <v>57</v>
      </c>
      <c r="C47" s="21">
        <v>1</v>
      </c>
      <c r="D47" s="21">
        <v>1</v>
      </c>
      <c r="E47" s="21">
        <v>1</v>
      </c>
      <c r="F47" s="19"/>
      <c r="G47" s="19"/>
      <c r="H47" s="19"/>
      <c r="I47" s="19"/>
      <c r="J47" s="2"/>
    </row>
    <row r="48" spans="1:10">
      <c r="A48" t="s">
        <v>148</v>
      </c>
      <c r="C48" s="21">
        <v>5</v>
      </c>
      <c r="D48" s="21">
        <v>10</v>
      </c>
      <c r="E48" s="21">
        <v>15</v>
      </c>
      <c r="F48" s="19"/>
      <c r="G48" s="19"/>
      <c r="H48" s="19"/>
      <c r="I48" s="19"/>
      <c r="J48" s="2"/>
    </row>
    <row r="49" spans="1:10" ht="15" thickBot="1">
      <c r="C49" s="19"/>
      <c r="D49" s="19"/>
      <c r="E49" s="19"/>
      <c r="F49" s="19"/>
      <c r="G49" s="19"/>
      <c r="H49" s="19"/>
      <c r="I49" s="19"/>
      <c r="J49" s="2"/>
    </row>
    <row r="50" spans="1:10" ht="15" thickBot="1">
      <c r="A50" s="34" t="s">
        <v>58</v>
      </c>
      <c r="B50" s="35"/>
      <c r="C50" s="19">
        <f>SUM(C2:C49)</f>
        <v>86</v>
      </c>
      <c r="D50" s="19">
        <f>SUM(D2:D49)</f>
        <v>142</v>
      </c>
      <c r="E50" s="19">
        <f>SUM(E2:E49)</f>
        <v>194</v>
      </c>
      <c r="F50" s="19"/>
      <c r="G50" s="19">
        <f>SUM(G2:G49)</f>
        <v>0</v>
      </c>
      <c r="H50" s="19">
        <f>SUM(H2:H49)</f>
        <v>0</v>
      </c>
      <c r="I50" s="19">
        <f>SUM(I2:I49)</f>
        <v>0</v>
      </c>
      <c r="J50" s="2">
        <f>SUM(J2:J49)</f>
        <v>0</v>
      </c>
    </row>
    <row r="51" spans="1:10" ht="15" thickBot="1">
      <c r="A51" s="10" t="s">
        <v>59</v>
      </c>
      <c r="B51" s="12">
        <v>20</v>
      </c>
      <c r="C51" s="19">
        <f xml:space="preserve"> B51 *C50 / 100 + C50</f>
        <v>103.2</v>
      </c>
      <c r="D51" s="19">
        <f xml:space="preserve"> B51 *D50 / 100 + D50</f>
        <v>170.4</v>
      </c>
      <c r="E51" s="19">
        <f xml:space="preserve"> B51 *E50 / 100 + E50</f>
        <v>232.8</v>
      </c>
      <c r="F51" s="19"/>
      <c r="G51" s="19">
        <f xml:space="preserve"> B51 *G50 / 100 + G50</f>
        <v>0</v>
      </c>
      <c r="H51" s="19">
        <f xml:space="preserve"> B51 *H50 / 100 + H50</f>
        <v>0</v>
      </c>
      <c r="I51" s="19">
        <f xml:space="preserve"> B51 *I50 / 100 + I50</f>
        <v>0</v>
      </c>
      <c r="J51" s="2">
        <f xml:space="preserve"> B51 *J50 / 100 + J50</f>
        <v>0</v>
      </c>
    </row>
    <row r="52" spans="1:10" ht="15" thickBot="1">
      <c r="A52" s="9" t="s">
        <v>60</v>
      </c>
      <c r="B52" s="12">
        <v>20</v>
      </c>
      <c r="C52" s="26">
        <f xml:space="preserve"> B52 *C51 / 100 + C51</f>
        <v>123.84</v>
      </c>
      <c r="D52" s="26">
        <f xml:space="preserve"> B52 *D51 / 100 + D51</f>
        <v>204.48000000000002</v>
      </c>
      <c r="E52" s="26">
        <f xml:space="preserve"> B52 *E51 / 100 + E51</f>
        <v>279.36</v>
      </c>
      <c r="F52" s="26"/>
      <c r="G52" s="14">
        <f xml:space="preserve"> B52 *G51 / 100 + G51</f>
        <v>0</v>
      </c>
      <c r="H52" s="13">
        <f xml:space="preserve"> B52 *H51 / 100 + H51</f>
        <v>0</v>
      </c>
      <c r="I52" s="15">
        <f xml:space="preserve"> B52 *I51 / 100 + I51</f>
        <v>0</v>
      </c>
      <c r="J52" s="16">
        <f xml:space="preserve"> B52 *J51 / 100 + J51</f>
        <v>0</v>
      </c>
    </row>
    <row r="53" spans="1:10" ht="15" thickBot="1">
      <c r="A53" s="36" t="s">
        <v>61</v>
      </c>
      <c r="B53" s="37"/>
      <c r="H53" s="1">
        <f>H51 / (20*B54)</f>
        <v>0</v>
      </c>
      <c r="I53" s="1">
        <f>I51 / (20*B54)</f>
        <v>0</v>
      </c>
      <c r="J53" s="1">
        <f>J51 / (20*B54)</f>
        <v>0</v>
      </c>
    </row>
    <row r="54" spans="1:10">
      <c r="A54" s="22" t="s">
        <v>62</v>
      </c>
      <c r="B54">
        <v>3</v>
      </c>
      <c r="H54" s="1">
        <f>(H52) / (20 * B54)</f>
        <v>0</v>
      </c>
      <c r="I54" s="1">
        <f>(I52) / (20 * B54)</f>
        <v>0</v>
      </c>
      <c r="J54" s="1">
        <f>(J52) / (20 * B54)</f>
        <v>0</v>
      </c>
    </row>
  </sheetData>
  <mergeCells count="3">
    <mergeCell ref="A50:B50"/>
    <mergeCell ref="A53:B53"/>
    <mergeCell ref="I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DCDA-9391-44E2-BCC0-6292DA55B311}">
  <dimension ref="A1:BS21"/>
  <sheetViews>
    <sheetView workbookViewId="0">
      <selection activeCell="A16" sqref="A16:XFD31"/>
    </sheetView>
  </sheetViews>
  <sheetFormatPr defaultRowHeight="14.4"/>
  <cols>
    <col min="1" max="1" width="135" customWidth="1"/>
    <col min="2" max="2" width="34.44140625" customWidth="1"/>
    <col min="3" max="3" width="14" style="1" customWidth="1"/>
    <col min="4" max="4" width="15.109375" style="1" customWidth="1"/>
    <col min="5" max="5" width="15.88671875" style="1" customWidth="1"/>
    <col min="6" max="7" width="28.33203125" style="1" customWidth="1"/>
    <col min="8" max="8" width="30.88671875" style="1" customWidth="1"/>
    <col min="9" max="9" width="13.6640625" customWidth="1"/>
    <col min="10" max="10" width="13.44140625" customWidth="1"/>
  </cols>
  <sheetData>
    <row r="1" spans="1:71" ht="21.6" thickBot="1">
      <c r="A1" s="8" t="s">
        <v>0</v>
      </c>
      <c r="B1" s="11" t="s">
        <v>1</v>
      </c>
      <c r="C1" s="7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27" t="s">
        <v>7</v>
      </c>
      <c r="I1" s="38" t="s">
        <v>8</v>
      </c>
      <c r="J1" s="39"/>
    </row>
    <row r="2" spans="1:71">
      <c r="A2" t="s">
        <v>9</v>
      </c>
      <c r="C2" s="20"/>
      <c r="D2" s="20"/>
      <c r="E2" s="20"/>
      <c r="F2" s="19"/>
      <c r="G2" s="19"/>
      <c r="H2" s="19"/>
      <c r="I2" s="19"/>
      <c r="J2" s="2"/>
    </row>
    <row r="3" spans="1:71">
      <c r="A3" t="s">
        <v>10</v>
      </c>
      <c r="C3" s="20"/>
      <c r="D3" s="20"/>
      <c r="E3" s="20"/>
      <c r="F3" s="19"/>
      <c r="G3" s="19"/>
      <c r="H3" s="19"/>
      <c r="I3" s="19"/>
      <c r="J3" s="2"/>
    </row>
    <row r="4" spans="1:71" s="17" customFormat="1">
      <c r="A4" t="s">
        <v>11</v>
      </c>
      <c r="B4"/>
      <c r="C4" s="20"/>
      <c r="D4" s="20"/>
      <c r="E4" s="20"/>
      <c r="F4" s="19"/>
      <c r="G4" s="19"/>
      <c r="H4" s="19"/>
      <c r="I4" s="19"/>
      <c r="J4" s="2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</row>
    <row r="5" spans="1:71" s="17" customFormat="1">
      <c r="A5" t="s">
        <v>12</v>
      </c>
      <c r="B5"/>
      <c r="C5" s="20"/>
      <c r="D5" s="20"/>
      <c r="E5" s="20"/>
      <c r="F5" s="19"/>
      <c r="G5" s="19"/>
      <c r="H5" s="19"/>
      <c r="I5" s="19"/>
      <c r="J5" s="2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</row>
    <row r="6" spans="1:71" s="17" customFormat="1">
      <c r="A6" t="s">
        <v>13</v>
      </c>
      <c r="B6"/>
      <c r="C6" s="20"/>
      <c r="D6" s="20"/>
      <c r="E6" s="20"/>
      <c r="F6" s="19"/>
      <c r="G6" s="19"/>
      <c r="H6" s="19"/>
      <c r="I6" s="19"/>
      <c r="J6" s="2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</row>
    <row r="7" spans="1:71" s="17" customFormat="1">
      <c r="A7" t="s">
        <v>14</v>
      </c>
      <c r="B7"/>
      <c r="C7" s="20"/>
      <c r="D7" s="20"/>
      <c r="E7" s="20"/>
      <c r="F7" s="19"/>
      <c r="G7" s="19"/>
      <c r="H7" s="19"/>
      <c r="I7" s="19"/>
      <c r="J7" s="2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</row>
    <row r="8" spans="1:71" s="17" customFormat="1">
      <c r="A8" t="s">
        <v>15</v>
      </c>
      <c r="B8"/>
      <c r="C8" s="20"/>
      <c r="D8" s="20"/>
      <c r="E8" s="20"/>
      <c r="F8" s="19"/>
      <c r="G8" s="19"/>
      <c r="H8" s="19"/>
      <c r="I8" s="19"/>
      <c r="J8" s="2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</row>
    <row r="9" spans="1:71" s="17" customFormat="1">
      <c r="A9" t="s">
        <v>27</v>
      </c>
      <c r="B9"/>
      <c r="C9" s="21"/>
      <c r="D9" s="21"/>
      <c r="E9" s="21"/>
      <c r="F9" s="19"/>
      <c r="G9" s="19"/>
      <c r="H9" s="19"/>
      <c r="I9" s="19"/>
      <c r="J9" s="2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</row>
    <row r="10" spans="1:71" s="17" customFormat="1">
      <c r="A10" t="s">
        <v>28</v>
      </c>
      <c r="B10"/>
      <c r="C10" s="21"/>
      <c r="D10" s="21"/>
      <c r="E10" s="21"/>
      <c r="F10" s="19"/>
      <c r="G10" s="19"/>
      <c r="H10" s="19"/>
      <c r="I10" s="19"/>
      <c r="J10" s="2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</row>
    <row r="11" spans="1:71" s="17" customFormat="1">
      <c r="A11" t="s">
        <v>29</v>
      </c>
      <c r="B11"/>
      <c r="C11" s="21"/>
      <c r="D11" s="21"/>
      <c r="E11" s="21"/>
      <c r="F11" s="19"/>
      <c r="G11" s="19"/>
      <c r="H11" s="19"/>
      <c r="I11" s="19"/>
      <c r="J11" s="2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</row>
    <row r="12" spans="1:71" s="17" customFormat="1">
      <c r="A12" t="s">
        <v>30</v>
      </c>
      <c r="B12"/>
      <c r="C12" s="21"/>
      <c r="D12" s="21"/>
      <c r="E12" s="21"/>
      <c r="F12" s="19"/>
      <c r="G12" s="19"/>
      <c r="H12" s="19"/>
      <c r="I12" s="19"/>
      <c r="J12" s="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</row>
    <row r="13" spans="1:71" s="17" customFormat="1">
      <c r="A13" t="s">
        <v>40</v>
      </c>
      <c r="B13"/>
      <c r="C13" s="21"/>
      <c r="D13" s="21"/>
      <c r="E13" s="21"/>
      <c r="F13" s="19"/>
      <c r="G13" s="19"/>
      <c r="H13" s="19"/>
      <c r="I13" s="19"/>
      <c r="J13" s="2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</row>
    <row r="14" spans="1:71" s="17" customFormat="1">
      <c r="A14" t="s">
        <v>41</v>
      </c>
      <c r="B14"/>
      <c r="C14" s="21"/>
      <c r="D14" s="21"/>
      <c r="E14" s="21"/>
      <c r="F14" s="19"/>
      <c r="G14" s="19"/>
      <c r="H14" s="19"/>
      <c r="I14" s="19"/>
      <c r="J14" s="2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</row>
    <row r="15" spans="1:71" s="17" customFormat="1">
      <c r="A15" t="s">
        <v>42</v>
      </c>
      <c r="B15"/>
      <c r="C15" s="21"/>
      <c r="D15" s="21"/>
      <c r="E15" s="21"/>
      <c r="F15" s="19"/>
      <c r="G15" s="19"/>
      <c r="H15" s="19"/>
      <c r="I15" s="19"/>
      <c r="J15" s="2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</row>
    <row r="16" spans="1:71" ht="15" thickBot="1">
      <c r="C16" s="19"/>
      <c r="D16" s="19"/>
      <c r="E16" s="19"/>
      <c r="F16" s="19"/>
      <c r="G16" s="19"/>
      <c r="H16" s="19"/>
      <c r="I16" s="19"/>
      <c r="J16" s="2"/>
    </row>
    <row r="17" spans="1:10" ht="15" thickBot="1">
      <c r="A17" s="34" t="s">
        <v>58</v>
      </c>
      <c r="B17" s="35"/>
      <c r="C17" s="19">
        <f>SUM(C2:C16)</f>
        <v>0</v>
      </c>
      <c r="D17" s="19">
        <f>SUM(D2:D16)</f>
        <v>0</v>
      </c>
      <c r="E17" s="19">
        <f>SUM(E2:E16)</f>
        <v>0</v>
      </c>
      <c r="F17" s="19"/>
      <c r="G17" s="19">
        <f>SUM(G2:G16)</f>
        <v>0</v>
      </c>
      <c r="H17" s="19">
        <f>SUM(H2:H16)</f>
        <v>0</v>
      </c>
      <c r="I17" s="19">
        <f>SUM(I2:I16)</f>
        <v>0</v>
      </c>
      <c r="J17" s="2">
        <f>SUM(J2:J16)</f>
        <v>0</v>
      </c>
    </row>
    <row r="18" spans="1:10" ht="15" thickBot="1">
      <c r="A18" s="10" t="s">
        <v>59</v>
      </c>
      <c r="B18" s="12">
        <v>20</v>
      </c>
      <c r="C18" s="19">
        <f xml:space="preserve"> B18 *C17 / 100 + C17</f>
        <v>0</v>
      </c>
      <c r="D18" s="19">
        <f xml:space="preserve"> B18 *D17 / 100 + D17</f>
        <v>0</v>
      </c>
      <c r="E18" s="19">
        <f xml:space="preserve"> B18 *E17 / 100 + E17</f>
        <v>0</v>
      </c>
      <c r="F18" s="19"/>
      <c r="G18" s="19">
        <f xml:space="preserve"> B18 *G17 / 100 + G17</f>
        <v>0</v>
      </c>
      <c r="H18" s="19">
        <f xml:space="preserve"> B18 *H17 / 100 + H17</f>
        <v>0</v>
      </c>
      <c r="I18" s="19">
        <f xml:space="preserve"> B18 *I17 / 100 + I17</f>
        <v>0</v>
      </c>
      <c r="J18" s="2">
        <f xml:space="preserve"> B18 *J17 / 100 + J17</f>
        <v>0</v>
      </c>
    </row>
    <row r="19" spans="1:10" ht="15" thickBot="1">
      <c r="A19" s="9" t="s">
        <v>60</v>
      </c>
      <c r="B19" s="12">
        <v>20</v>
      </c>
      <c r="C19" s="28">
        <f xml:space="preserve"> B19 *C18 / 100 + C18</f>
        <v>0</v>
      </c>
      <c r="D19" s="28">
        <f xml:space="preserve"> B19 *D18 / 100 + D18</f>
        <v>0</v>
      </c>
      <c r="E19" s="28">
        <f xml:space="preserve"> B19 *E18 / 100 + E18</f>
        <v>0</v>
      </c>
      <c r="F19" s="28"/>
      <c r="G19" s="14">
        <f xml:space="preserve"> B19 *G18 / 100 + G18</f>
        <v>0</v>
      </c>
      <c r="H19" s="13">
        <f xml:space="preserve"> B19 *H18 / 100 + H18</f>
        <v>0</v>
      </c>
      <c r="I19" s="15">
        <f xml:space="preserve"> B19 *I18 / 100 + I18</f>
        <v>0</v>
      </c>
      <c r="J19" s="16">
        <f xml:space="preserve"> B19 *J18 / 100 + J18</f>
        <v>0</v>
      </c>
    </row>
    <row r="20" spans="1:10" ht="15" thickBot="1">
      <c r="A20" s="36" t="s">
        <v>61</v>
      </c>
      <c r="B20" s="37"/>
      <c r="H20" s="1">
        <f>H18 / (20*B21)</f>
        <v>0</v>
      </c>
      <c r="I20" s="1">
        <f>I18 / (20*B21)</f>
        <v>0</v>
      </c>
      <c r="J20" s="1">
        <f>J18 / (20*B21)</f>
        <v>0</v>
      </c>
    </row>
    <row r="21" spans="1:10">
      <c r="A21" s="22" t="s">
        <v>62</v>
      </c>
      <c r="B21">
        <v>3</v>
      </c>
      <c r="H21" s="1">
        <f>(H19) / (20 * B21)</f>
        <v>0</v>
      </c>
      <c r="I21" s="1">
        <f>(I19) / (20 * B21)</f>
        <v>0</v>
      </c>
      <c r="J21" s="1">
        <f>(J19) / (20 * B21)</f>
        <v>0</v>
      </c>
    </row>
  </sheetData>
  <mergeCells count="3">
    <mergeCell ref="I1:J1"/>
    <mergeCell ref="A17:B17"/>
    <mergeCell ref="A20:B2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A441-799F-449E-8D68-CA4D7EF47AA6}">
  <dimension ref="A1:D52"/>
  <sheetViews>
    <sheetView workbookViewId="0">
      <selection activeCell="B2" sqref="B2"/>
    </sheetView>
  </sheetViews>
  <sheetFormatPr defaultRowHeight="14.4"/>
  <cols>
    <col min="2" max="2" width="153.44140625" bestFit="1" customWidth="1"/>
    <col min="3" max="3" width="30.44140625" customWidth="1"/>
  </cols>
  <sheetData>
    <row r="1" spans="1:4">
      <c r="A1" s="33" t="s">
        <v>63</v>
      </c>
      <c r="B1" s="33" t="s">
        <v>64</v>
      </c>
      <c r="C1" s="33" t="s">
        <v>122</v>
      </c>
      <c r="D1" s="33" t="s">
        <v>65</v>
      </c>
    </row>
    <row r="2" spans="1:4">
      <c r="A2" s="33">
        <v>371</v>
      </c>
      <c r="B2" s="33" t="s">
        <v>66</v>
      </c>
      <c r="C2" s="33" t="s">
        <v>116</v>
      </c>
      <c r="D2" s="33">
        <v>346</v>
      </c>
    </row>
    <row r="3" spans="1:4">
      <c r="A3" s="33">
        <v>372</v>
      </c>
      <c r="B3" s="33" t="s">
        <v>67</v>
      </c>
      <c r="C3" s="33" t="s">
        <v>116</v>
      </c>
      <c r="D3" s="33">
        <v>346</v>
      </c>
    </row>
    <row r="4" spans="1:4">
      <c r="A4" s="33">
        <v>373</v>
      </c>
      <c r="B4" s="33" t="s">
        <v>68</v>
      </c>
      <c r="C4" s="33" t="s">
        <v>116</v>
      </c>
      <c r="D4" s="33">
        <v>346</v>
      </c>
    </row>
    <row r="5" spans="1:4">
      <c r="A5" s="33">
        <v>374</v>
      </c>
      <c r="B5" s="33" t="s">
        <v>69</v>
      </c>
      <c r="C5" s="33" t="s">
        <v>116</v>
      </c>
      <c r="D5" s="33">
        <v>346</v>
      </c>
    </row>
    <row r="6" spans="1:4">
      <c r="A6" s="33">
        <v>375</v>
      </c>
      <c r="B6" s="33" t="s">
        <v>70</v>
      </c>
      <c r="C6" s="33" t="s">
        <v>117</v>
      </c>
      <c r="D6" s="33">
        <v>344</v>
      </c>
    </row>
    <row r="7" spans="1:4">
      <c r="A7" s="33">
        <v>376</v>
      </c>
      <c r="B7" s="33" t="s">
        <v>71</v>
      </c>
      <c r="C7" s="33" t="s">
        <v>117</v>
      </c>
      <c r="D7" s="33">
        <v>344</v>
      </c>
    </row>
    <row r="8" spans="1:4">
      <c r="A8" s="33">
        <v>377</v>
      </c>
      <c r="B8" s="33" t="s">
        <v>72</v>
      </c>
      <c r="C8" s="33" t="s">
        <v>117</v>
      </c>
      <c r="D8" s="33">
        <v>344</v>
      </c>
    </row>
    <row r="9" spans="1:4">
      <c r="A9" s="33">
        <v>378</v>
      </c>
      <c r="B9" s="33" t="s">
        <v>73</v>
      </c>
      <c r="C9" s="33" t="s">
        <v>117</v>
      </c>
      <c r="D9" s="33">
        <v>344</v>
      </c>
    </row>
    <row r="10" spans="1:4">
      <c r="A10" s="33">
        <v>379</v>
      </c>
      <c r="B10" s="33" t="s">
        <v>74</v>
      </c>
      <c r="C10" s="33" t="s">
        <v>117</v>
      </c>
      <c r="D10" s="33">
        <v>344</v>
      </c>
    </row>
    <row r="11" spans="1:4">
      <c r="A11" s="33">
        <v>380</v>
      </c>
      <c r="B11" s="33" t="s">
        <v>75</v>
      </c>
      <c r="C11" s="33" t="s">
        <v>117</v>
      </c>
      <c r="D11" s="33">
        <v>344</v>
      </c>
    </row>
    <row r="12" spans="1:4">
      <c r="A12" s="33">
        <v>381</v>
      </c>
      <c r="B12" s="33" t="s">
        <v>76</v>
      </c>
      <c r="C12" s="33" t="s">
        <v>118</v>
      </c>
      <c r="D12" s="33">
        <v>345</v>
      </c>
    </row>
    <row r="13" spans="1:4">
      <c r="A13" s="33">
        <v>382</v>
      </c>
      <c r="B13" s="33" t="s">
        <v>77</v>
      </c>
      <c r="C13" s="33" t="s">
        <v>118</v>
      </c>
      <c r="D13" s="33">
        <v>345</v>
      </c>
    </row>
    <row r="14" spans="1:4">
      <c r="A14" s="33">
        <v>383</v>
      </c>
      <c r="B14" s="33" t="s">
        <v>78</v>
      </c>
      <c r="C14" s="33" t="s">
        <v>118</v>
      </c>
      <c r="D14" s="33">
        <v>345</v>
      </c>
    </row>
    <row r="15" spans="1:4">
      <c r="A15" s="33">
        <v>384</v>
      </c>
      <c r="B15" s="33" t="s">
        <v>79</v>
      </c>
      <c r="C15" s="33" t="s">
        <v>118</v>
      </c>
      <c r="D15" s="33">
        <v>345</v>
      </c>
    </row>
    <row r="16" spans="1:4">
      <c r="A16" s="33">
        <v>385</v>
      </c>
      <c r="B16" s="33" t="s">
        <v>80</v>
      </c>
      <c r="C16" s="33" t="s">
        <v>118</v>
      </c>
      <c r="D16" s="33">
        <v>345</v>
      </c>
    </row>
    <row r="17" spans="1:4">
      <c r="A17" s="33">
        <v>386</v>
      </c>
      <c r="B17" s="33" t="s">
        <v>81</v>
      </c>
      <c r="C17" s="33" t="s">
        <v>118</v>
      </c>
      <c r="D17" s="33">
        <v>345</v>
      </c>
    </row>
    <row r="18" spans="1:4">
      <c r="A18" s="33">
        <v>387</v>
      </c>
      <c r="B18" s="33" t="s">
        <v>82</v>
      </c>
      <c r="C18" s="33" t="s">
        <v>118</v>
      </c>
      <c r="D18" s="33">
        <v>345</v>
      </c>
    </row>
    <row r="19" spans="1:4">
      <c r="A19" s="33">
        <v>388</v>
      </c>
      <c r="B19" s="33" t="s">
        <v>83</v>
      </c>
      <c r="C19" s="33" t="s">
        <v>118</v>
      </c>
      <c r="D19" s="33">
        <v>345</v>
      </c>
    </row>
    <row r="20" spans="1:4">
      <c r="A20" s="33">
        <v>389</v>
      </c>
      <c r="B20" s="33" t="s">
        <v>84</v>
      </c>
      <c r="C20" s="33" t="s">
        <v>118</v>
      </c>
      <c r="D20" s="33">
        <v>345</v>
      </c>
    </row>
    <row r="21" spans="1:4">
      <c r="A21" s="33">
        <v>390</v>
      </c>
      <c r="B21" s="33" t="s">
        <v>85</v>
      </c>
      <c r="C21" s="33" t="s">
        <v>118</v>
      </c>
      <c r="D21" s="33">
        <v>345</v>
      </c>
    </row>
    <row r="22" spans="1:4">
      <c r="A22" s="33">
        <v>391</v>
      </c>
      <c r="B22" s="33" t="s">
        <v>86</v>
      </c>
      <c r="C22" s="33" t="s">
        <v>119</v>
      </c>
      <c r="D22" s="33">
        <v>347</v>
      </c>
    </row>
    <row r="23" spans="1:4">
      <c r="A23" s="33">
        <v>392</v>
      </c>
      <c r="B23" s="33" t="s">
        <v>87</v>
      </c>
      <c r="C23" s="33" t="s">
        <v>119</v>
      </c>
      <c r="D23" s="33">
        <v>347</v>
      </c>
    </row>
    <row r="24" spans="1:4">
      <c r="A24" s="33">
        <v>393</v>
      </c>
      <c r="B24" s="33" t="s">
        <v>88</v>
      </c>
      <c r="C24" s="33" t="s">
        <v>119</v>
      </c>
      <c r="D24" s="33">
        <v>347</v>
      </c>
    </row>
    <row r="25" spans="1:4">
      <c r="A25" s="33">
        <v>394</v>
      </c>
      <c r="B25" s="33" t="s">
        <v>89</v>
      </c>
      <c r="C25" s="33" t="s">
        <v>121</v>
      </c>
      <c r="D25" s="33">
        <v>327</v>
      </c>
    </row>
    <row r="26" spans="1:4">
      <c r="A26" s="33">
        <v>395</v>
      </c>
      <c r="B26" s="33" t="s">
        <v>90</v>
      </c>
      <c r="C26" s="33" t="s">
        <v>120</v>
      </c>
      <c r="D26" s="33">
        <v>343</v>
      </c>
    </row>
    <row r="27" spans="1:4">
      <c r="A27" s="33">
        <v>396</v>
      </c>
      <c r="B27" s="33" t="s">
        <v>91</v>
      </c>
      <c r="C27" s="33" t="s">
        <v>120</v>
      </c>
      <c r="D27" s="33">
        <v>343</v>
      </c>
    </row>
    <row r="28" spans="1:4">
      <c r="A28" s="33">
        <v>397</v>
      </c>
      <c r="B28" s="33" t="s">
        <v>92</v>
      </c>
      <c r="C28" s="33" t="s">
        <v>120</v>
      </c>
      <c r="D28" s="33">
        <v>343</v>
      </c>
    </row>
    <row r="29" spans="1:4">
      <c r="A29" s="33">
        <v>398</v>
      </c>
      <c r="B29" s="33" t="s">
        <v>93</v>
      </c>
      <c r="C29" s="33" t="s">
        <v>120</v>
      </c>
      <c r="D29" s="33">
        <v>343</v>
      </c>
    </row>
    <row r="30" spans="1:4">
      <c r="A30" s="33">
        <v>399</v>
      </c>
      <c r="B30" s="33" t="s">
        <v>94</v>
      </c>
      <c r="C30" s="33" t="s">
        <v>120</v>
      </c>
      <c r="D30" s="33">
        <v>343</v>
      </c>
    </row>
    <row r="31" spans="1:4">
      <c r="A31" s="33">
        <v>400</v>
      </c>
      <c r="B31" s="33" t="s">
        <v>95</v>
      </c>
      <c r="C31" s="33" t="s">
        <v>118</v>
      </c>
      <c r="D31" s="33">
        <v>345</v>
      </c>
    </row>
    <row r="32" spans="1:4">
      <c r="A32" s="33">
        <v>401</v>
      </c>
      <c r="B32" s="33" t="s">
        <v>96</v>
      </c>
      <c r="C32" s="33" t="s">
        <v>118</v>
      </c>
      <c r="D32" s="33">
        <v>345</v>
      </c>
    </row>
    <row r="33" spans="1:4">
      <c r="A33" s="33">
        <v>403</v>
      </c>
      <c r="B33" s="33" t="s">
        <v>97</v>
      </c>
      <c r="C33" s="33" t="s">
        <v>118</v>
      </c>
      <c r="D33" s="33">
        <v>345</v>
      </c>
    </row>
    <row r="34" spans="1:4">
      <c r="A34" s="33">
        <v>406</v>
      </c>
      <c r="B34" s="33" t="s">
        <v>98</v>
      </c>
      <c r="C34" s="33" t="s">
        <v>118</v>
      </c>
      <c r="D34" s="33">
        <v>345</v>
      </c>
    </row>
    <row r="35" spans="1:4">
      <c r="A35" s="33">
        <v>412</v>
      </c>
      <c r="B35" s="33" t="s">
        <v>99</v>
      </c>
      <c r="C35" s="33" t="s">
        <v>121</v>
      </c>
      <c r="D35" s="33">
        <v>336</v>
      </c>
    </row>
    <row r="36" spans="1:4">
      <c r="A36" s="33">
        <v>413</v>
      </c>
      <c r="B36" s="33" t="s">
        <v>100</v>
      </c>
      <c r="C36" s="33" t="s">
        <v>121</v>
      </c>
      <c r="D36" s="33">
        <v>336</v>
      </c>
    </row>
    <row r="37" spans="1:4">
      <c r="A37" s="33">
        <v>414</v>
      </c>
      <c r="B37" s="33" t="s">
        <v>101</v>
      </c>
      <c r="C37" s="33" t="s">
        <v>121</v>
      </c>
      <c r="D37" s="33">
        <v>336</v>
      </c>
    </row>
    <row r="38" spans="1:4">
      <c r="A38" s="33">
        <v>415</v>
      </c>
      <c r="B38" s="33" t="s">
        <v>125</v>
      </c>
      <c r="D38" s="33">
        <v>338</v>
      </c>
    </row>
    <row r="39" spans="1:4">
      <c r="A39" s="33">
        <v>416</v>
      </c>
      <c r="B39" s="33" t="s">
        <v>126</v>
      </c>
      <c r="D39" s="33">
        <v>338</v>
      </c>
    </row>
    <row r="40" spans="1:4">
      <c r="A40" s="33">
        <v>417</v>
      </c>
      <c r="B40" s="33" t="s">
        <v>127</v>
      </c>
      <c r="D40" s="33">
        <v>338</v>
      </c>
    </row>
    <row r="41" spans="1:4">
      <c r="A41" s="33">
        <v>418</v>
      </c>
      <c r="B41" s="33" t="s">
        <v>128</v>
      </c>
      <c r="D41" s="33">
        <v>338</v>
      </c>
    </row>
    <row r="42" spans="1:4">
      <c r="A42" s="33">
        <v>419</v>
      </c>
      <c r="B42" s="33" t="s">
        <v>129</v>
      </c>
      <c r="D42" s="33">
        <v>340</v>
      </c>
    </row>
    <row r="43" spans="1:4">
      <c r="A43" s="33">
        <v>420</v>
      </c>
      <c r="B43" s="33" t="s">
        <v>130</v>
      </c>
      <c r="D43" s="33">
        <v>340</v>
      </c>
    </row>
    <row r="44" spans="1:4">
      <c r="A44" s="33">
        <v>421</v>
      </c>
      <c r="B44" s="33" t="s">
        <v>131</v>
      </c>
      <c r="D44" s="33">
        <v>340</v>
      </c>
    </row>
    <row r="45" spans="1:4">
      <c r="A45" s="33">
        <v>422</v>
      </c>
      <c r="B45" s="33" t="s">
        <v>132</v>
      </c>
      <c r="D45" s="33">
        <v>341</v>
      </c>
    </row>
    <row r="46" spans="1:4">
      <c r="A46" s="33">
        <v>423</v>
      </c>
      <c r="B46" s="33" t="s">
        <v>133</v>
      </c>
      <c r="D46" s="33">
        <v>341</v>
      </c>
    </row>
    <row r="47" spans="1:4">
      <c r="A47" s="33">
        <v>425</v>
      </c>
      <c r="B47" s="33" t="s">
        <v>134</v>
      </c>
      <c r="D47" s="33">
        <v>341</v>
      </c>
    </row>
    <row r="48" spans="1:4">
      <c r="A48" s="33">
        <v>426</v>
      </c>
      <c r="B48" s="33" t="s">
        <v>135</v>
      </c>
      <c r="D48" s="33">
        <v>341</v>
      </c>
    </row>
    <row r="49" spans="1:4">
      <c r="A49" s="33">
        <v>427</v>
      </c>
      <c r="B49" s="33" t="s">
        <v>136</v>
      </c>
      <c r="D49" s="33">
        <v>342</v>
      </c>
    </row>
    <row r="50" spans="1:4">
      <c r="A50" s="33">
        <v>428</v>
      </c>
      <c r="B50" s="33" t="s">
        <v>137</v>
      </c>
      <c r="D50" s="33">
        <v>342</v>
      </c>
    </row>
    <row r="51" spans="1:4">
      <c r="A51" s="33">
        <v>429</v>
      </c>
      <c r="B51" s="33" t="s">
        <v>138</v>
      </c>
      <c r="D51" s="33">
        <v>342</v>
      </c>
    </row>
    <row r="52" spans="1:4">
      <c r="A52" s="33">
        <v>430</v>
      </c>
      <c r="B52" s="33" t="s">
        <v>139</v>
      </c>
      <c r="D52" s="33">
        <v>342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3AC4-D5F7-4ECA-B2ED-D2C6EDDD8872}">
  <dimension ref="A1:J39"/>
  <sheetViews>
    <sheetView workbookViewId="0">
      <selection activeCell="C9" sqref="C9"/>
    </sheetView>
  </sheetViews>
  <sheetFormatPr defaultRowHeight="14.4"/>
  <cols>
    <col min="1" max="1" width="107.6640625" customWidth="1"/>
    <col min="2" max="2" width="34.44140625" customWidth="1"/>
    <col min="3" max="3" width="14" style="1" customWidth="1"/>
    <col min="4" max="4" width="15.109375" style="1" customWidth="1"/>
    <col min="5" max="5" width="15.88671875" style="1" customWidth="1"/>
    <col min="6" max="7" width="28.33203125" style="1" customWidth="1"/>
    <col min="8" max="8" width="30.88671875" style="1" customWidth="1"/>
    <col min="9" max="9" width="13.6640625" customWidth="1"/>
    <col min="10" max="10" width="13.44140625" customWidth="1"/>
  </cols>
  <sheetData>
    <row r="1" spans="1:10" ht="21.6" thickBot="1">
      <c r="A1" s="8" t="s">
        <v>102</v>
      </c>
      <c r="B1" s="11" t="s">
        <v>1</v>
      </c>
      <c r="C1" s="7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23" t="s">
        <v>7</v>
      </c>
      <c r="I1" s="38" t="s">
        <v>8</v>
      </c>
      <c r="J1" s="39"/>
    </row>
    <row r="2" spans="1:10">
      <c r="A2" s="44" t="s">
        <v>103</v>
      </c>
      <c r="B2" s="45"/>
      <c r="C2" s="19">
        <v>1</v>
      </c>
      <c r="D2" s="19">
        <v>2</v>
      </c>
      <c r="E2" s="19">
        <v>3</v>
      </c>
      <c r="F2" s="19">
        <f>(E2 - C2)/6</f>
        <v>0.33333333333333331</v>
      </c>
      <c r="G2" s="19">
        <f>(C2+D2+E2)/3</f>
        <v>2</v>
      </c>
      <c r="H2" s="19">
        <f>(C2+5*D2+E2)/6</f>
        <v>2.3333333333333335</v>
      </c>
      <c r="I2" s="19">
        <f xml:space="preserve"> H2 - F2</f>
        <v>2</v>
      </c>
      <c r="J2" s="2">
        <f xml:space="preserve"> H2 + F2</f>
        <v>2.666666666666667</v>
      </c>
    </row>
    <row r="3" spans="1:10">
      <c r="A3" t="s">
        <v>104</v>
      </c>
      <c r="C3" s="19">
        <v>1</v>
      </c>
      <c r="D3" s="19">
        <v>2</v>
      </c>
      <c r="E3" s="19">
        <v>3</v>
      </c>
      <c r="F3" s="19">
        <f t="shared" ref="F3:F34" si="0">(E3 - C3)/6</f>
        <v>0.33333333333333331</v>
      </c>
      <c r="G3" s="19">
        <f t="shared" ref="G3:G34" si="1">(C3+D3+E3)/3</f>
        <v>2</v>
      </c>
      <c r="H3" s="19">
        <f t="shared" ref="H3:H34" si="2">(C3+5*D3+E3)/6</f>
        <v>2.3333333333333335</v>
      </c>
      <c r="I3" s="19">
        <f t="shared" ref="I3:I34" si="3" xml:space="preserve"> H3 - F3</f>
        <v>2</v>
      </c>
      <c r="J3" s="2">
        <f t="shared" ref="J3:J34" si="4" xml:space="preserve"> H3 + F3</f>
        <v>2.666666666666667</v>
      </c>
    </row>
    <row r="4" spans="1:10">
      <c r="C4" s="19"/>
      <c r="D4" s="19"/>
      <c r="E4" s="19"/>
      <c r="F4" s="19"/>
      <c r="G4" s="19"/>
      <c r="H4" s="19"/>
      <c r="I4" s="19"/>
      <c r="J4" s="2"/>
    </row>
    <row r="5" spans="1:10">
      <c r="C5" s="19"/>
      <c r="D5" s="19"/>
      <c r="E5" s="19"/>
      <c r="F5" s="19"/>
      <c r="G5" s="19"/>
      <c r="H5" s="19"/>
      <c r="I5" s="19"/>
      <c r="J5" s="2"/>
    </row>
    <row r="6" spans="1:10">
      <c r="C6" s="19"/>
      <c r="D6" s="19"/>
      <c r="E6" s="19"/>
      <c r="F6" s="19"/>
      <c r="G6" s="19"/>
      <c r="H6" s="19"/>
      <c r="I6" s="19"/>
      <c r="J6" s="2"/>
    </row>
    <row r="7" spans="1:10">
      <c r="C7" s="19"/>
      <c r="D7" s="19"/>
      <c r="E7" s="19"/>
      <c r="F7" s="19"/>
      <c r="G7" s="19"/>
      <c r="H7" s="19"/>
      <c r="I7" s="19"/>
      <c r="J7" s="2"/>
    </row>
    <row r="8" spans="1:10">
      <c r="C8" s="19"/>
      <c r="D8" s="19"/>
      <c r="E8" s="19"/>
      <c r="F8" s="19"/>
      <c r="G8" s="19"/>
      <c r="H8" s="19"/>
      <c r="I8" s="19"/>
      <c r="J8" s="2"/>
    </row>
    <row r="9" spans="1:10">
      <c r="C9" s="19"/>
      <c r="D9" s="19"/>
      <c r="E9" s="19"/>
      <c r="F9" s="19"/>
      <c r="G9" s="19"/>
      <c r="H9" s="19"/>
      <c r="I9" s="19"/>
      <c r="J9" s="2"/>
    </row>
    <row r="10" spans="1:10">
      <c r="C10" s="19"/>
      <c r="D10" s="19"/>
      <c r="E10" s="19"/>
      <c r="F10" s="19"/>
      <c r="G10" s="19"/>
      <c r="H10" s="19"/>
      <c r="I10" s="19"/>
      <c r="J10" s="2"/>
    </row>
    <row r="11" spans="1:10">
      <c r="C11" s="19"/>
      <c r="D11" s="19"/>
      <c r="E11" s="19"/>
      <c r="F11" s="19"/>
      <c r="G11" s="19"/>
      <c r="H11" s="19"/>
      <c r="I11" s="19"/>
      <c r="J11" s="2"/>
    </row>
    <row r="12" spans="1:10">
      <c r="C12" s="19"/>
      <c r="D12" s="19"/>
      <c r="E12" s="19"/>
      <c r="F12" s="19"/>
      <c r="G12" s="19"/>
      <c r="H12" s="19"/>
      <c r="I12" s="19"/>
      <c r="J12" s="2"/>
    </row>
    <row r="13" spans="1:10">
      <c r="C13" s="19"/>
      <c r="D13" s="19"/>
      <c r="E13" s="19"/>
      <c r="F13" s="19"/>
      <c r="G13" s="19"/>
      <c r="H13" s="19"/>
      <c r="I13" s="19"/>
      <c r="J13" s="2"/>
    </row>
    <row r="14" spans="1:10">
      <c r="C14" s="19"/>
      <c r="D14" s="19"/>
      <c r="E14" s="19"/>
      <c r="F14" s="19"/>
      <c r="G14" s="19"/>
      <c r="H14" s="19"/>
      <c r="I14" s="19"/>
      <c r="J14" s="2"/>
    </row>
    <row r="15" spans="1:10">
      <c r="C15" s="19"/>
      <c r="D15" s="19"/>
      <c r="E15" s="19"/>
      <c r="F15" s="19"/>
      <c r="G15" s="19"/>
      <c r="H15" s="19"/>
      <c r="I15" s="19"/>
      <c r="J15" s="2"/>
    </row>
    <row r="16" spans="1:10">
      <c r="C16" s="19"/>
      <c r="D16" s="19"/>
      <c r="E16" s="19"/>
      <c r="F16" s="19"/>
      <c r="G16" s="19"/>
      <c r="H16" s="19"/>
      <c r="I16" s="19"/>
      <c r="J16" s="2"/>
    </row>
    <row r="17" spans="1:10">
      <c r="C17" s="19"/>
      <c r="D17" s="19"/>
      <c r="E17" s="19"/>
      <c r="F17" s="19"/>
      <c r="G17" s="19"/>
      <c r="H17" s="19"/>
      <c r="I17" s="19"/>
      <c r="J17" s="2"/>
    </row>
    <row r="18" spans="1:10">
      <c r="C18" s="19"/>
      <c r="D18" s="19"/>
      <c r="E18" s="19"/>
      <c r="F18" s="19"/>
      <c r="G18" s="19"/>
      <c r="H18" s="19"/>
      <c r="I18" s="19"/>
      <c r="J18" s="2"/>
    </row>
    <row r="19" spans="1:10">
      <c r="C19" s="19"/>
      <c r="D19" s="19"/>
      <c r="E19" s="19"/>
      <c r="F19" s="19"/>
      <c r="G19" s="19"/>
      <c r="H19" s="19"/>
      <c r="I19" s="19"/>
      <c r="J19" s="2"/>
    </row>
    <row r="20" spans="1:10">
      <c r="C20" s="19"/>
      <c r="D20" s="19"/>
      <c r="E20" s="19"/>
      <c r="F20" s="19"/>
      <c r="G20" s="19"/>
      <c r="H20" s="19"/>
      <c r="I20" s="19"/>
      <c r="J20" s="2"/>
    </row>
    <row r="21" spans="1:10">
      <c r="C21" s="19"/>
      <c r="D21" s="19"/>
      <c r="E21" s="19"/>
      <c r="F21" s="19"/>
      <c r="G21" s="19"/>
      <c r="H21" s="19"/>
      <c r="I21" s="19"/>
      <c r="J21" s="2"/>
    </row>
    <row r="22" spans="1:10">
      <c r="C22" s="19"/>
      <c r="D22" s="19"/>
      <c r="E22" s="19"/>
      <c r="F22" s="19"/>
      <c r="G22" s="19"/>
      <c r="H22" s="19"/>
      <c r="I22" s="19"/>
      <c r="J22" s="2"/>
    </row>
    <row r="23" spans="1:10">
      <c r="C23" s="19"/>
      <c r="D23" s="19"/>
      <c r="E23" s="19"/>
      <c r="F23" s="19"/>
      <c r="G23" s="19"/>
      <c r="H23" s="19"/>
      <c r="I23" s="19"/>
      <c r="J23" s="2"/>
    </row>
    <row r="24" spans="1:10">
      <c r="C24" s="19"/>
      <c r="D24" s="19"/>
      <c r="E24" s="19"/>
      <c r="F24" s="19"/>
      <c r="G24" s="19"/>
      <c r="H24" s="19"/>
      <c r="I24" s="19"/>
      <c r="J24" s="2"/>
    </row>
    <row r="25" spans="1:10">
      <c r="C25" s="19"/>
      <c r="D25" s="19"/>
      <c r="E25" s="19"/>
      <c r="F25" s="19"/>
      <c r="G25" s="19"/>
      <c r="H25" s="19"/>
      <c r="I25" s="19"/>
      <c r="J25" s="2"/>
    </row>
    <row r="26" spans="1:10">
      <c r="A26" s="18"/>
      <c r="B26" s="19"/>
      <c r="C26" s="19"/>
      <c r="D26" s="19"/>
      <c r="E26" s="19"/>
      <c r="F26" s="19"/>
      <c r="G26" s="19"/>
      <c r="H26" s="19"/>
      <c r="I26" s="19"/>
      <c r="J26" s="2"/>
    </row>
    <row r="27" spans="1:10">
      <c r="A27" s="18"/>
      <c r="B27" s="19"/>
      <c r="C27" s="19"/>
      <c r="D27" s="19"/>
      <c r="E27" s="19"/>
      <c r="F27" s="19"/>
      <c r="G27" s="19"/>
      <c r="H27" s="19"/>
      <c r="I27" s="19"/>
      <c r="J27" s="2"/>
    </row>
    <row r="28" spans="1:10">
      <c r="A28" s="18"/>
      <c r="B28" s="19"/>
      <c r="C28" s="19"/>
      <c r="D28" s="19"/>
      <c r="E28" s="19"/>
      <c r="F28" s="19"/>
      <c r="G28" s="19"/>
      <c r="H28" s="19"/>
      <c r="I28" s="19"/>
      <c r="J28" s="2"/>
    </row>
    <row r="29" spans="1:10">
      <c r="A29" s="18"/>
      <c r="B29" s="19"/>
      <c r="C29" s="19"/>
      <c r="D29" s="19"/>
      <c r="E29" s="19"/>
      <c r="F29" s="19"/>
      <c r="G29" s="19"/>
      <c r="H29" s="19"/>
      <c r="I29" s="19"/>
      <c r="J29" s="2"/>
    </row>
    <row r="30" spans="1:10">
      <c r="A30" s="18"/>
      <c r="B30" s="19"/>
      <c r="C30" s="19"/>
      <c r="D30" s="19"/>
      <c r="E30" s="19"/>
      <c r="F30" s="19"/>
      <c r="G30" s="19"/>
      <c r="H30" s="19"/>
      <c r="I30" s="19"/>
      <c r="J30" s="2"/>
    </row>
    <row r="31" spans="1:10">
      <c r="A31" s="18"/>
      <c r="B31" s="19"/>
      <c r="C31" s="19"/>
      <c r="D31" s="19"/>
      <c r="E31" s="19"/>
      <c r="F31" s="19">
        <f t="shared" si="0"/>
        <v>0</v>
      </c>
      <c r="G31" s="19">
        <f t="shared" si="1"/>
        <v>0</v>
      </c>
      <c r="H31" s="19">
        <f t="shared" si="2"/>
        <v>0</v>
      </c>
      <c r="I31" s="19">
        <f t="shared" si="3"/>
        <v>0</v>
      </c>
      <c r="J31" s="2">
        <f t="shared" si="4"/>
        <v>0</v>
      </c>
    </row>
    <row r="32" spans="1:10">
      <c r="A32" s="18"/>
      <c r="B32" s="19"/>
      <c r="C32" s="19"/>
      <c r="D32" s="19"/>
      <c r="E32" s="19"/>
      <c r="F32" s="19">
        <f t="shared" si="0"/>
        <v>0</v>
      </c>
      <c r="G32" s="19">
        <f t="shared" si="1"/>
        <v>0</v>
      </c>
      <c r="H32" s="19">
        <f t="shared" si="2"/>
        <v>0</v>
      </c>
      <c r="I32" s="19">
        <f t="shared" si="3"/>
        <v>0</v>
      </c>
      <c r="J32" s="2">
        <f t="shared" si="4"/>
        <v>0</v>
      </c>
    </row>
    <row r="33" spans="1:10">
      <c r="A33" s="18"/>
      <c r="B33" s="19"/>
      <c r="C33" s="19"/>
      <c r="D33" s="19"/>
      <c r="E33" s="19"/>
      <c r="F33" s="19">
        <f t="shared" si="0"/>
        <v>0</v>
      </c>
      <c r="G33" s="19">
        <f t="shared" si="1"/>
        <v>0</v>
      </c>
      <c r="H33" s="19">
        <f t="shared" si="2"/>
        <v>0</v>
      </c>
      <c r="I33" s="19">
        <f t="shared" si="3"/>
        <v>0</v>
      </c>
      <c r="J33" s="2">
        <f t="shared" si="4"/>
        <v>0</v>
      </c>
    </row>
    <row r="34" spans="1:10">
      <c r="A34" s="18"/>
      <c r="B34" s="19"/>
      <c r="C34" s="19"/>
      <c r="D34" s="19"/>
      <c r="E34" s="19"/>
      <c r="F34" s="19">
        <f t="shared" si="0"/>
        <v>0</v>
      </c>
      <c r="G34" s="19">
        <f t="shared" si="1"/>
        <v>0</v>
      </c>
      <c r="H34" s="19">
        <f t="shared" si="2"/>
        <v>0</v>
      </c>
      <c r="I34" s="19">
        <f t="shared" si="3"/>
        <v>0</v>
      </c>
      <c r="J34" s="2">
        <f t="shared" si="4"/>
        <v>0</v>
      </c>
    </row>
    <row r="35" spans="1:10" ht="15" thickBot="1">
      <c r="A35" s="40"/>
      <c r="B35" s="41"/>
      <c r="C35" s="26"/>
      <c r="D35" s="26"/>
      <c r="E35" s="26"/>
      <c r="F35" s="26"/>
      <c r="G35" s="26"/>
      <c r="H35" s="26"/>
      <c r="I35" s="26"/>
      <c r="J35" s="3"/>
    </row>
    <row r="36" spans="1:10" ht="15" thickBot="1">
      <c r="A36" s="34"/>
      <c r="B36" s="35"/>
      <c r="C36" s="19">
        <f>SUM(C2:C34)</f>
        <v>2</v>
      </c>
      <c r="D36" s="19">
        <f>SUM(D2:D34)</f>
        <v>4</v>
      </c>
      <c r="E36" s="19">
        <f>SUM(E2:E34)</f>
        <v>6</v>
      </c>
      <c r="F36" s="19"/>
      <c r="G36" s="19">
        <f>SUM(G2:G34)</f>
        <v>4</v>
      </c>
      <c r="H36" s="19">
        <f>SUM(H2:H34)</f>
        <v>4.666666666666667</v>
      </c>
      <c r="I36" s="19">
        <f>SUM(I2:I34)</f>
        <v>4</v>
      </c>
      <c r="J36" s="2">
        <f>SUM(J2:J34)</f>
        <v>5.3333333333333339</v>
      </c>
    </row>
    <row r="37" spans="1:10" ht="15" thickBot="1">
      <c r="A37" s="10"/>
      <c r="B37" s="12"/>
      <c r="C37" s="19">
        <f xml:space="preserve"> B37 *C36 / 100 + C36</f>
        <v>2</v>
      </c>
      <c r="D37" s="19">
        <f xml:space="preserve"> B37 *D36 / 100 + D36</f>
        <v>4</v>
      </c>
      <c r="E37" s="19">
        <f xml:space="preserve"> B37 *E36 / 100 + E36</f>
        <v>6</v>
      </c>
      <c r="F37" s="19"/>
      <c r="G37" s="19">
        <f xml:space="preserve"> B37 *G36 / 100 + G36</f>
        <v>4</v>
      </c>
      <c r="H37" s="19">
        <f xml:space="preserve"> B37 *H36 / 100 + H36</f>
        <v>4.666666666666667</v>
      </c>
      <c r="I37" s="19">
        <f xml:space="preserve"> B37 *I36 / 100 + I36</f>
        <v>4</v>
      </c>
      <c r="J37" s="2">
        <f xml:space="preserve"> B37 *J36 / 100 + J36</f>
        <v>5.3333333333333339</v>
      </c>
    </row>
    <row r="38" spans="1:10" ht="15" thickBot="1">
      <c r="A38" s="9"/>
      <c r="B38" s="12"/>
      <c r="C38" s="26">
        <f xml:space="preserve"> B38 *C37 / 100 + C37</f>
        <v>2</v>
      </c>
      <c r="D38" s="26">
        <f xml:space="preserve"> B38 *D37 / 100 + D37</f>
        <v>4</v>
      </c>
      <c r="E38" s="26">
        <f xml:space="preserve"> B38 *E37 / 100 + E37</f>
        <v>6</v>
      </c>
      <c r="F38" s="26"/>
      <c r="G38" s="14">
        <f xml:space="preserve"> B38 *G37 / 100 + G37</f>
        <v>4</v>
      </c>
      <c r="H38" s="13">
        <f xml:space="preserve"> B38 *H37 / 100 + H37</f>
        <v>4.666666666666667</v>
      </c>
      <c r="I38" s="15">
        <f xml:space="preserve"> B38 *I37 / 100 + I37</f>
        <v>4</v>
      </c>
      <c r="J38" s="16">
        <f xml:space="preserve"> B38 *J37 / 100 + J37</f>
        <v>5.3333333333333339</v>
      </c>
    </row>
    <row r="39" spans="1:10" ht="15" thickBot="1">
      <c r="A39" s="42"/>
      <c r="B39" s="43"/>
    </row>
  </sheetData>
  <mergeCells count="5">
    <mergeCell ref="A35:B35"/>
    <mergeCell ref="A36:B36"/>
    <mergeCell ref="A39:B39"/>
    <mergeCell ref="I1:J1"/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27B03-173F-4E7E-B30E-A4C9B5B5362A}">
  <dimension ref="A1:J17"/>
  <sheetViews>
    <sheetView workbookViewId="0">
      <selection activeCell="A26" sqref="A26"/>
    </sheetView>
  </sheetViews>
  <sheetFormatPr defaultRowHeight="14.4"/>
  <cols>
    <col min="1" max="1" width="70.109375" customWidth="1"/>
    <col min="2" max="2" width="34.44140625" customWidth="1"/>
    <col min="3" max="3" width="14" style="1" customWidth="1"/>
    <col min="4" max="4" width="15.109375" style="1" customWidth="1"/>
    <col min="5" max="5" width="15.88671875" style="1" customWidth="1"/>
    <col min="6" max="7" width="28.33203125" style="1" customWidth="1"/>
    <col min="8" max="8" width="30.88671875" style="1" customWidth="1"/>
    <col min="9" max="9" width="13.6640625" customWidth="1"/>
    <col min="10" max="10" width="13.44140625" customWidth="1"/>
  </cols>
  <sheetData>
    <row r="1" spans="1:10" ht="21.6" thickBot="1">
      <c r="A1" s="8" t="s">
        <v>102</v>
      </c>
      <c r="B1" s="11" t="s">
        <v>1</v>
      </c>
      <c r="C1" s="7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23" t="s">
        <v>7</v>
      </c>
      <c r="I1" s="38" t="s">
        <v>8</v>
      </c>
      <c r="J1" s="39"/>
    </row>
    <row r="2" spans="1:10">
      <c r="A2" s="44" t="s">
        <v>105</v>
      </c>
      <c r="B2" s="45"/>
      <c r="C2" s="19">
        <v>1</v>
      </c>
      <c r="D2" s="19">
        <v>2</v>
      </c>
      <c r="E2" s="19">
        <v>3</v>
      </c>
      <c r="F2" s="19">
        <f>(E2 - C2)/6</f>
        <v>0.33333333333333331</v>
      </c>
      <c r="G2" s="19">
        <f>(C2+D2+E2)/3</f>
        <v>2</v>
      </c>
      <c r="H2" s="19">
        <f>(C2+5*D2+E2)/6</f>
        <v>2.3333333333333335</v>
      </c>
      <c r="I2" s="19">
        <f xml:space="preserve"> H2 - F2</f>
        <v>2</v>
      </c>
      <c r="J2" s="2">
        <f xml:space="preserve"> H2 + F2</f>
        <v>2.666666666666667</v>
      </c>
    </row>
    <row r="3" spans="1:10">
      <c r="A3" t="s">
        <v>106</v>
      </c>
      <c r="C3" s="19">
        <v>1</v>
      </c>
      <c r="D3" s="19">
        <v>2</v>
      </c>
      <c r="E3" s="19">
        <v>3</v>
      </c>
      <c r="F3" s="19">
        <f t="shared" ref="F3:F10" si="0">(E3 - C3)/6</f>
        <v>0.33333333333333331</v>
      </c>
      <c r="G3" s="19">
        <f t="shared" ref="G3:G10" si="1">(C3+D3+E3)/3</f>
        <v>2</v>
      </c>
      <c r="H3" s="19">
        <f t="shared" ref="H3:H10" si="2">(C3+5*D3+E3)/6</f>
        <v>2.3333333333333335</v>
      </c>
      <c r="I3" s="19">
        <f t="shared" ref="I3:I10" si="3" xml:space="preserve"> H3 - F3</f>
        <v>2</v>
      </c>
      <c r="J3" s="2">
        <f t="shared" ref="J3:J10" si="4" xml:space="preserve"> H3 + F3</f>
        <v>2.666666666666667</v>
      </c>
    </row>
    <row r="4" spans="1:10">
      <c r="A4" t="s">
        <v>107</v>
      </c>
      <c r="C4" s="19"/>
      <c r="D4" s="19"/>
      <c r="E4" s="19"/>
      <c r="F4" s="19"/>
      <c r="G4" s="19"/>
      <c r="H4" s="19"/>
      <c r="I4" s="19"/>
      <c r="J4" s="2"/>
    </row>
    <row r="5" spans="1:10">
      <c r="A5" t="s">
        <v>108</v>
      </c>
      <c r="C5" s="19"/>
      <c r="D5" s="19"/>
      <c r="E5" s="19"/>
      <c r="F5" s="19"/>
      <c r="G5" s="19"/>
      <c r="H5" s="19"/>
      <c r="I5" s="19"/>
      <c r="J5" s="2"/>
    </row>
    <row r="6" spans="1:10">
      <c r="A6" t="s">
        <v>109</v>
      </c>
      <c r="C6" s="19"/>
      <c r="D6" s="19"/>
      <c r="E6" s="19"/>
      <c r="F6" s="19"/>
      <c r="G6" s="19"/>
      <c r="H6" s="19"/>
      <c r="I6" s="19"/>
      <c r="J6" s="2"/>
    </row>
    <row r="7" spans="1:10">
      <c r="A7" s="44" t="s">
        <v>110</v>
      </c>
      <c r="B7" s="45"/>
      <c r="C7" s="19"/>
      <c r="D7" s="19"/>
      <c r="E7" s="19"/>
      <c r="F7" s="19">
        <f t="shared" si="0"/>
        <v>0</v>
      </c>
      <c r="G7" s="19">
        <f t="shared" si="1"/>
        <v>0</v>
      </c>
      <c r="H7" s="19">
        <f t="shared" si="2"/>
        <v>0</v>
      </c>
      <c r="I7" s="19">
        <f t="shared" si="3"/>
        <v>0</v>
      </c>
      <c r="J7" s="2">
        <f t="shared" si="4"/>
        <v>0</v>
      </c>
    </row>
    <row r="8" spans="1:10">
      <c r="A8" s="44" t="s">
        <v>111</v>
      </c>
      <c r="B8" s="45"/>
      <c r="C8" s="19"/>
      <c r="D8" s="19"/>
      <c r="E8" s="19"/>
      <c r="F8" s="19">
        <f t="shared" si="0"/>
        <v>0</v>
      </c>
      <c r="G8" s="19">
        <f t="shared" si="1"/>
        <v>0</v>
      </c>
      <c r="H8" s="19">
        <f t="shared" si="2"/>
        <v>0</v>
      </c>
      <c r="I8" s="19">
        <f t="shared" si="3"/>
        <v>0</v>
      </c>
      <c r="J8" s="2">
        <f t="shared" si="4"/>
        <v>0</v>
      </c>
    </row>
    <row r="9" spans="1:10">
      <c r="A9" s="44" t="s">
        <v>112</v>
      </c>
      <c r="B9" s="45"/>
      <c r="C9" s="19"/>
      <c r="D9" s="19"/>
      <c r="E9" s="19"/>
      <c r="F9" s="19">
        <f t="shared" si="0"/>
        <v>0</v>
      </c>
      <c r="G9" s="19">
        <f t="shared" si="1"/>
        <v>0</v>
      </c>
      <c r="H9" s="19">
        <f t="shared" si="2"/>
        <v>0</v>
      </c>
      <c r="I9" s="19">
        <f t="shared" si="3"/>
        <v>0</v>
      </c>
      <c r="J9" s="2">
        <f t="shared" si="4"/>
        <v>0</v>
      </c>
    </row>
    <row r="10" spans="1:10">
      <c r="A10" s="44" t="s">
        <v>113</v>
      </c>
      <c r="B10" s="45"/>
      <c r="C10" s="19"/>
      <c r="D10" s="19"/>
      <c r="E10" s="19"/>
      <c r="F10" s="19">
        <f t="shared" si="0"/>
        <v>0</v>
      </c>
      <c r="G10" s="19">
        <f t="shared" si="1"/>
        <v>0</v>
      </c>
      <c r="H10" s="19">
        <f t="shared" si="2"/>
        <v>0</v>
      </c>
      <c r="I10" s="19">
        <f t="shared" si="3"/>
        <v>0</v>
      </c>
      <c r="J10" s="2">
        <f t="shared" si="4"/>
        <v>0</v>
      </c>
    </row>
    <row r="11" spans="1:10">
      <c r="A11" s="24" t="s">
        <v>114</v>
      </c>
      <c r="B11" s="25"/>
      <c r="C11" s="19"/>
      <c r="D11" s="19"/>
      <c r="E11" s="19"/>
      <c r="F11" s="19"/>
      <c r="G11" s="19"/>
      <c r="H11" s="19"/>
      <c r="I11" s="19"/>
      <c r="J11" s="2"/>
    </row>
    <row r="12" spans="1:10">
      <c r="A12" s="24" t="s">
        <v>115</v>
      </c>
      <c r="B12" s="25"/>
      <c r="C12" s="19"/>
      <c r="D12" s="19"/>
      <c r="E12" s="19"/>
      <c r="F12" s="19"/>
      <c r="G12" s="19"/>
      <c r="H12" s="19"/>
      <c r="I12" s="19"/>
      <c r="J12" s="2"/>
    </row>
    <row r="13" spans="1:10" ht="15" thickBot="1">
      <c r="A13" s="40"/>
      <c r="B13" s="41"/>
      <c r="C13" s="26"/>
      <c r="D13" s="26"/>
      <c r="E13" s="26"/>
      <c r="F13" s="26"/>
      <c r="G13" s="26"/>
      <c r="H13" s="26"/>
      <c r="I13" s="26"/>
      <c r="J13" s="3"/>
    </row>
    <row r="14" spans="1:10" ht="15" thickBot="1">
      <c r="A14" s="34" t="s">
        <v>58</v>
      </c>
      <c r="B14" s="35"/>
      <c r="C14" s="19">
        <f>SUM(C2:C10)</f>
        <v>2</v>
      </c>
      <c r="D14" s="19">
        <f>SUM(D2:D10)</f>
        <v>4</v>
      </c>
      <c r="E14" s="19">
        <f>SUM(E2:E10)</f>
        <v>6</v>
      </c>
      <c r="F14" s="19"/>
      <c r="G14" s="19">
        <f>SUM(G2:G10)</f>
        <v>4</v>
      </c>
      <c r="H14" s="19">
        <f>SUM(H2:H10)</f>
        <v>4.666666666666667</v>
      </c>
      <c r="I14" s="19">
        <f>SUM(I2:I10)</f>
        <v>4</v>
      </c>
      <c r="J14" s="2">
        <f>SUM(J2:J10)</f>
        <v>5.3333333333333339</v>
      </c>
    </row>
    <row r="15" spans="1:10" ht="15" thickBot="1">
      <c r="A15" s="10" t="s">
        <v>59</v>
      </c>
      <c r="B15" s="12">
        <v>20</v>
      </c>
      <c r="C15" s="19">
        <f xml:space="preserve"> B15 *C14 / 100 + C14</f>
        <v>2.4</v>
      </c>
      <c r="D15" s="19">
        <f xml:space="preserve"> B15 *D14 / 100 + D14</f>
        <v>4.8</v>
      </c>
      <c r="E15" s="19">
        <f xml:space="preserve"> B15 *E14 / 100 + E14</f>
        <v>7.2</v>
      </c>
      <c r="F15" s="19"/>
      <c r="G15" s="19">
        <f xml:space="preserve"> B15 *G14 / 100 + G14</f>
        <v>4.8</v>
      </c>
      <c r="H15" s="19">
        <f xml:space="preserve"> B15 *H14 / 100 + H14</f>
        <v>5.6000000000000005</v>
      </c>
      <c r="I15" s="19">
        <f xml:space="preserve"> B15 *I14 / 100 + I14</f>
        <v>4.8</v>
      </c>
      <c r="J15" s="2">
        <f xml:space="preserve"> B15 *J14 / 100 + J14</f>
        <v>6.4</v>
      </c>
    </row>
    <row r="16" spans="1:10" ht="15" thickBot="1">
      <c r="A16" s="9" t="s">
        <v>60</v>
      </c>
      <c r="B16" s="12">
        <v>20</v>
      </c>
      <c r="C16" s="26">
        <f xml:space="preserve"> B16 *C15 / 100 + C15</f>
        <v>2.88</v>
      </c>
      <c r="D16" s="26">
        <f xml:space="preserve"> B16 *D15 / 100 + D15</f>
        <v>5.76</v>
      </c>
      <c r="E16" s="26">
        <f xml:space="preserve"> B16 *E15 / 100 + E15</f>
        <v>8.64</v>
      </c>
      <c r="F16" s="26"/>
      <c r="G16" s="14">
        <f xml:space="preserve"> B16 *G15 / 100 + G15</f>
        <v>5.76</v>
      </c>
      <c r="H16" s="13">
        <f xml:space="preserve"> B16 *H15 / 100 + H15</f>
        <v>6.7200000000000006</v>
      </c>
      <c r="I16" s="15">
        <f xml:space="preserve"> B16 *I15 / 100 + I15</f>
        <v>5.76</v>
      </c>
      <c r="J16" s="16">
        <f xml:space="preserve"> B16 *J15 / 100 + J15</f>
        <v>7.6800000000000006</v>
      </c>
    </row>
    <row r="17" spans="1:2" ht="15" thickBot="1">
      <c r="A17" s="42" t="s">
        <v>61</v>
      </c>
      <c r="B17" s="43"/>
    </row>
  </sheetData>
  <mergeCells count="9">
    <mergeCell ref="A13:B13"/>
    <mergeCell ref="A14:B14"/>
    <mergeCell ref="A17:B17"/>
    <mergeCell ref="I1:J1"/>
    <mergeCell ref="A2:B2"/>
    <mergeCell ref="A7:B7"/>
    <mergeCell ref="A8:B8"/>
    <mergeCell ref="A9:B9"/>
    <mergeCell ref="A10:B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8DA26187AF49418D5F7F452D85CB92" ma:contentTypeVersion="10" ma:contentTypeDescription="Create a new document." ma:contentTypeScope="" ma:versionID="2874df8fce59f7e3c502155a1221de3e">
  <xsd:schema xmlns:xsd="http://www.w3.org/2001/XMLSchema" xmlns:xs="http://www.w3.org/2001/XMLSchema" xmlns:p="http://schemas.microsoft.com/office/2006/metadata/properties" xmlns:ns3="a2b1d37e-c76e-4980-a1f5-8b9a5711be2e" xmlns:ns4="f20324d2-35b2-4ee6-af6d-ab7f41a9606a" targetNamespace="http://schemas.microsoft.com/office/2006/metadata/properties" ma:root="true" ma:fieldsID="b1fd4e33af0a1ec5fdc39f371eb206bb" ns3:_="" ns4:_="">
    <xsd:import namespace="a2b1d37e-c76e-4980-a1f5-8b9a5711be2e"/>
    <xsd:import namespace="f20324d2-35b2-4ee6-af6d-ab7f41a960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1d37e-c76e-4980-a1f5-8b9a5711be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324d2-35b2-4ee6-af6d-ab7f41a960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1857B5-43EB-479A-8B53-30154D300B3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261A0E-3708-4E17-B413-32867280D3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31003F-89D2-452F-90E9-D5559134BB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b1d37e-c76e-4980-a1f5-8b9a5711be2e"/>
    <ds:schemaRef ds:uri="f20324d2-35b2-4ee6-af6d-ab7f41a960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BNPL functional</vt:lpstr>
      <vt:lpstr>User Managment</vt:lpstr>
      <vt:lpstr>BNPL user stories</vt:lpstr>
      <vt:lpstr>Admin -UI</vt:lpstr>
      <vt:lpstr>Devops-infra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Arthur Hakobyan</dc:creator>
  <cp:keywords/>
  <dc:description/>
  <cp:lastModifiedBy>Arthur Hakobyan</cp:lastModifiedBy>
  <cp:revision/>
  <dcterms:created xsi:type="dcterms:W3CDTF">2017-09-13T09:54:28Z</dcterms:created>
  <dcterms:modified xsi:type="dcterms:W3CDTF">2021-08-04T15:15:51Z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0x010100EC8DA26187AF49418D5F7F452D85CB92</vt:lpwstr>
  </property>
</Properties>
</file>